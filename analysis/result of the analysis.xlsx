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guzh\Documents\пр\analysis\"/>
    </mc:Choice>
  </mc:AlternateContent>
  <xr:revisionPtr revIDLastSave="0" documentId="13_ncr:1_{24DA8601-FCC1-4D39-BB80-1B97DE1C6F21}" xr6:coauthVersionLast="47" xr6:coauthVersionMax="47" xr10:uidLastSave="{00000000-0000-0000-0000-000000000000}"/>
  <bookViews>
    <workbookView xWindow="1905" yWindow="1905" windowWidth="21600" windowHeight="11385" activeTab="1" xr2:uid="{00000000-000D-0000-FFFF-FFFF00000000}"/>
  </bookViews>
  <sheets>
    <sheet name="alpha" sheetId="1" r:id="rId1"/>
    <sheet name="A" sheetId="2" r:id="rId2"/>
    <sheet name="B" sheetId="3" r:id="rId3"/>
    <sheet name="C" sheetId="4" r:id="rId4"/>
    <sheet name="Omeg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" i="3" l="1"/>
  <c r="N3" i="3"/>
  <c r="N4" i="3"/>
  <c r="N5" i="3"/>
  <c r="N2" i="3"/>
  <c r="M3" i="3"/>
  <c r="M4" i="3"/>
  <c r="M5" i="3"/>
  <c r="M2" i="3"/>
  <c r="M1" i="3"/>
  <c r="AV6" i="2"/>
  <c r="AU6" i="2"/>
  <c r="AV5" i="2"/>
  <c r="AU5" i="2"/>
  <c r="AV4" i="2"/>
  <c r="AU4" i="2"/>
  <c r="AV3" i="2"/>
  <c r="AU3" i="2"/>
  <c r="AV2" i="2"/>
  <c r="AU2" i="2"/>
  <c r="AV1" i="2"/>
  <c r="AU1" i="2"/>
  <c r="AC6" i="2"/>
  <c r="AB6" i="2"/>
  <c r="AC5" i="2"/>
  <c r="AB5" i="2"/>
  <c r="AC4" i="2"/>
  <c r="AB4" i="2"/>
  <c r="AC3" i="2"/>
  <c r="AB3" i="2"/>
  <c r="AC2" i="2"/>
  <c r="AB2" i="2"/>
  <c r="AC1" i="2"/>
  <c r="AB1" i="2"/>
  <c r="N6" i="2"/>
  <c r="N5" i="2"/>
  <c r="N4" i="2"/>
  <c r="N3" i="2"/>
  <c r="N2" i="2"/>
  <c r="M3" i="2"/>
  <c r="M4" i="2"/>
  <c r="M5" i="2"/>
  <c r="M6" i="2"/>
  <c r="M2" i="2"/>
  <c r="N1" i="2"/>
  <c r="M1" i="2"/>
</calcChain>
</file>

<file path=xl/sharedStrings.xml><?xml version="1.0" encoding="utf-8"?>
<sst xmlns="http://schemas.openxmlformats.org/spreadsheetml/2006/main" count="522" uniqueCount="33">
  <si>
    <t>timestamp</t>
  </si>
  <si>
    <t>algorithm</t>
  </si>
  <si>
    <t>structure</t>
  </si>
  <si>
    <t>dataType</t>
  </si>
  <si>
    <t>distribution</t>
  </si>
  <si>
    <t>size</t>
  </si>
  <si>
    <t>iterations</t>
  </si>
  <si>
    <t>pivot</t>
  </si>
  <si>
    <t>shellParameter</t>
  </si>
  <si>
    <t>min_us</t>
  </si>
  <si>
    <t>max_us</t>
  </si>
  <si>
    <t>avg_us</t>
  </si>
  <si>
    <t>quick</t>
  </si>
  <si>
    <t>array</t>
  </si>
  <si>
    <t>int</t>
  </si>
  <si>
    <t>random</t>
  </si>
  <si>
    <t>undefined</t>
  </si>
  <si>
    <t>middle</t>
  </si>
  <si>
    <t>edge</t>
  </si>
  <si>
    <t>shell</t>
  </si>
  <si>
    <t>option1</t>
  </si>
  <si>
    <t>option2</t>
  </si>
  <si>
    <t>bucket</t>
  </si>
  <si>
    <t>singleList</t>
  </si>
  <si>
    <t>doubleList</t>
  </si>
  <si>
    <t>ascending</t>
  </si>
  <si>
    <t>ascending50Per</t>
  </si>
  <si>
    <t>descending</t>
  </si>
  <si>
    <t>double</t>
  </si>
  <si>
    <t>unsignedInt</t>
  </si>
  <si>
    <t>string</t>
  </si>
  <si>
    <t>stack</t>
  </si>
  <si>
    <t>binaryTree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</si>
</sst>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22" fontId="0" fillId="0" borderId="4" xfId="0" applyNumberFormat="1" applyBorder="1"/>
    <xf numFmtId="0" fontId="0" fillId="0" borderId="0" xfId="0" applyBorder="1"/>
    <xf numFmtId="0" fontId="0" fillId="0" borderId="5" xfId="0" applyBorder="1"/>
    <xf numFmtId="22" fontId="0" fillId="0" borderId="6" xfId="0" applyNumberFormat="1" applyBorder="1"/>
    <xf numFmtId="0" fontId="0" fillId="0" borderId="7" xfId="0" applyBorder="1"/>
    <xf numFmtId="0" fontId="0" fillId="0" borderId="8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</a:t>
            </a:r>
            <a:r>
              <a:rPr lang="el-GR"/>
              <a:t>α — </a:t>
            </a:r>
            <a:r>
              <a:rPr lang="pl-PL"/>
              <a:t>Quick Sort, wpływ wyboru pivota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alpha!$H$2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alpha!$L$1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alpha!$L$2</c:f>
              <c:numCache>
                <c:formatCode>General</c:formatCode>
                <c:ptCount val="1"/>
                <c:pt idx="0">
                  <c:v>1439.33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E-4B11-8DA1-8AE0963BE98E}"/>
            </c:ext>
          </c:extLst>
        </c:ser>
        <c:ser>
          <c:idx val="1"/>
          <c:order val="1"/>
          <c:tx>
            <c:strRef>
              <c:f>alpha!$H$3</c:f>
              <c:strCache>
                <c:ptCount val="1"/>
                <c:pt idx="0">
                  <c:v>middle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alpha!$L$1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alpha!$L$3</c:f>
              <c:numCache>
                <c:formatCode>General</c:formatCode>
                <c:ptCount val="1"/>
                <c:pt idx="0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EE-4B11-8DA1-8AE0963BE98E}"/>
            </c:ext>
          </c:extLst>
        </c:ser>
        <c:ser>
          <c:idx val="2"/>
          <c:order val="2"/>
          <c:tx>
            <c:strRef>
              <c:f>alpha!$H$4</c:f>
              <c:strCache>
                <c:ptCount val="1"/>
                <c:pt idx="0">
                  <c:v>edge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alpha!$L$1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alpha!$L$4</c:f>
              <c:numCache>
                <c:formatCode>General</c:formatCode>
                <c:ptCount val="1"/>
                <c:pt idx="0">
                  <c:v>1369.6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EE-4B11-8DA1-8AE0963BE9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0632448"/>
        <c:axId val="1950627040"/>
      </c:barChart>
      <c:catAx>
        <c:axId val="19506324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Wariant pivota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1950627040"/>
        <c:crosses val="autoZero"/>
        <c:auto val="1"/>
        <c:lblAlgn val="ctr"/>
        <c:lblOffset val="100"/>
        <c:noMultiLvlLbl val="0"/>
      </c:catAx>
      <c:valAx>
        <c:axId val="195062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000" b="0" i="0" u="none" strike="noStrike" baseline="0"/>
                  <a:t>Średni czas [us]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5063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</a:t>
            </a:r>
            <a:r>
              <a:rPr lang="el-GR"/>
              <a:t>α — </a:t>
            </a:r>
            <a:r>
              <a:rPr lang="pl-PL"/>
              <a:t>Shell Sort, wpływ wariantu odstępów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alpha!$W$2</c:f>
              <c:strCache>
                <c:ptCount val="1"/>
                <c:pt idx="0">
                  <c:v>option1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alpha!$Z$1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alpha!$Z$2</c:f>
              <c:numCache>
                <c:formatCode>General</c:formatCode>
                <c:ptCount val="1"/>
                <c:pt idx="0">
                  <c:v>2629.6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5-472A-84EF-9B4AB7089191}"/>
            </c:ext>
          </c:extLst>
        </c:ser>
        <c:ser>
          <c:idx val="1"/>
          <c:order val="1"/>
          <c:tx>
            <c:strRef>
              <c:f>alpha!$W$3</c:f>
              <c:strCache>
                <c:ptCount val="1"/>
                <c:pt idx="0">
                  <c:v>option2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alpha!$Z$1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alpha!$Z$3</c:f>
              <c:numCache>
                <c:formatCode>General</c:formatCode>
                <c:ptCount val="1"/>
                <c:pt idx="0">
                  <c:v>2239.4699999999998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5-472A-84EF-9B4AB70891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50642432"/>
        <c:axId val="1950646592"/>
      </c:barChart>
      <c:catAx>
        <c:axId val="1950642432"/>
        <c:scaling>
          <c:orientation val="minMax"/>
        </c:scaling>
        <c:delete val="1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1950646592"/>
        <c:crosses val="autoZero"/>
        <c:auto val="1"/>
        <c:lblAlgn val="ctr"/>
        <c:lblOffset val="100"/>
        <c:noMultiLvlLbl val="0"/>
      </c:catAx>
      <c:valAx>
        <c:axId val="195064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5064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A!$C$3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A!$AA$2:$AA$6</c:f>
              <c:numCache>
                <c:formatCode>General</c:formatCode>
                <c:ptCount val="5"/>
                <c:pt idx="0">
                  <c:v>124.93</c:v>
                </c:pt>
                <c:pt idx="1">
                  <c:v>788.93</c:v>
                </c:pt>
                <c:pt idx="2">
                  <c:v>1669.5</c:v>
                </c:pt>
                <c:pt idx="3">
                  <c:v>2401.63</c:v>
                </c:pt>
                <c:pt idx="4">
                  <c:v>3517.47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1C-4DF5-BA04-844E0D945D30}"/>
            </c:ext>
          </c:extLst>
        </c:ser>
        <c:ser>
          <c:idx val="2"/>
          <c:order val="1"/>
          <c:tx>
            <c:strRef>
              <c:f>A!$AB$1</c:f>
              <c:strCache>
                <c:ptCount val="1"/>
                <c:pt idx="0">
                  <c:v>singleList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A!$AA$7:$AA$11</c:f>
              <c:numCache>
                <c:formatCode>General</c:formatCode>
                <c:ptCount val="5"/>
                <c:pt idx="0">
                  <c:v>27995.03</c:v>
                </c:pt>
                <c:pt idx="1">
                  <c:v>247976.33</c:v>
                </c:pt>
                <c:pt idx="2">
                  <c:v>999787.77</c:v>
                </c:pt>
                <c:pt idx="3">
                  <c:v>2896449.77</c:v>
                </c:pt>
                <c:pt idx="4">
                  <c:v>4450523.13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1C-4DF5-BA04-844E0D945D30}"/>
            </c:ext>
          </c:extLst>
        </c:ser>
        <c:ser>
          <c:idx val="3"/>
          <c:order val="2"/>
          <c:tx>
            <c:strRef>
              <c:f>A!$AC$1</c:f>
              <c:strCache>
                <c:ptCount val="1"/>
                <c:pt idx="0">
                  <c:v>doubleList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A!$AA$12:$AA$16</c:f>
              <c:numCache>
                <c:formatCode>General</c:formatCode>
                <c:ptCount val="5"/>
                <c:pt idx="0">
                  <c:v>26280.67</c:v>
                </c:pt>
                <c:pt idx="1">
                  <c:v>237755.77</c:v>
                </c:pt>
                <c:pt idx="2">
                  <c:v>1001803.3</c:v>
                </c:pt>
                <c:pt idx="3">
                  <c:v>2939838.27</c:v>
                </c:pt>
                <c:pt idx="4">
                  <c:v>4234025.4000000004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01C-4DF5-BA04-844E0D945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8624"/>
        <c:axId val="1960665296"/>
      </c:lineChart>
      <c:catAx>
        <c:axId val="196066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5296"/>
        <c:crossesAt val="0"/>
        <c:auto val="1"/>
        <c:lblAlgn val="ctr"/>
        <c:lblOffset val="100"/>
        <c:noMultiLvlLbl val="0"/>
      </c:catAx>
      <c:valAx>
        <c:axId val="19606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Bucket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A!$C$3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A!$L$2:$L$6</c:f>
              <c:numCache>
                <c:formatCode>General</c:formatCode>
                <c:ptCount val="5"/>
                <c:pt idx="0">
                  <c:v>468.9</c:v>
                </c:pt>
                <c:pt idx="1">
                  <c:v>530.47</c:v>
                </c:pt>
                <c:pt idx="2">
                  <c:v>1797.37</c:v>
                </c:pt>
                <c:pt idx="3">
                  <c:v>2447.1</c:v>
                </c:pt>
                <c:pt idx="4">
                  <c:v>2482.5700000000002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F-487B-8B91-212928FB3C58}"/>
            </c:ext>
          </c:extLst>
        </c:ser>
        <c:ser>
          <c:idx val="2"/>
          <c:order val="1"/>
          <c:tx>
            <c:strRef>
              <c:f>A!$M$1</c:f>
              <c:strCache>
                <c:ptCount val="1"/>
                <c:pt idx="0">
                  <c:v>singleList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A!$M$2:$M$6</c:f>
              <c:numCache>
                <c:formatCode>General</c:formatCode>
                <c:ptCount val="5"/>
                <c:pt idx="0">
                  <c:v>3816.13</c:v>
                </c:pt>
                <c:pt idx="1">
                  <c:v>57756.13</c:v>
                </c:pt>
                <c:pt idx="2">
                  <c:v>118354.73</c:v>
                </c:pt>
                <c:pt idx="3">
                  <c:v>247805.53</c:v>
                </c:pt>
                <c:pt idx="4">
                  <c:v>364215.53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F-487B-8B91-212928FB3C58}"/>
            </c:ext>
          </c:extLst>
        </c:ser>
        <c:ser>
          <c:idx val="3"/>
          <c:order val="2"/>
          <c:tx>
            <c:strRef>
              <c:f>A!$N$1</c:f>
              <c:strCache>
                <c:ptCount val="1"/>
                <c:pt idx="0">
                  <c:v>doubleList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A!$N$2:$N$6</c:f>
              <c:numCache>
                <c:formatCode>General</c:formatCode>
                <c:ptCount val="5"/>
                <c:pt idx="0">
                  <c:v>3486.37</c:v>
                </c:pt>
                <c:pt idx="1">
                  <c:v>46595.33</c:v>
                </c:pt>
                <c:pt idx="2">
                  <c:v>109396.87</c:v>
                </c:pt>
                <c:pt idx="3">
                  <c:v>213164.23</c:v>
                </c:pt>
                <c:pt idx="4">
                  <c:v>288694.53000000003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4F-487B-8B91-212928FB3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8624"/>
        <c:axId val="1960665296"/>
      </c:lineChart>
      <c:catAx>
        <c:axId val="196066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5296"/>
        <c:crossesAt val="0"/>
        <c:auto val="1"/>
        <c:lblAlgn val="ctr"/>
        <c:lblOffset val="100"/>
        <c:noMultiLvlLbl val="0"/>
      </c:catAx>
      <c:valAx>
        <c:axId val="19606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Shell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A!$AK$4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A!$AN$2:$AN$6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A!$AT$2:$AT$6</c:f>
              <c:numCache>
                <c:formatCode>General</c:formatCode>
                <c:ptCount val="5"/>
                <c:pt idx="0">
                  <c:v>247.53</c:v>
                </c:pt>
                <c:pt idx="1">
                  <c:v>1061.0999999999999</c:v>
                </c:pt>
                <c:pt idx="2">
                  <c:v>3148.73</c:v>
                </c:pt>
                <c:pt idx="3">
                  <c:v>3508.8</c:v>
                </c:pt>
                <c:pt idx="4">
                  <c:v>4813.53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2-4EF6-BB34-23D51A45463A}"/>
            </c:ext>
          </c:extLst>
        </c:ser>
        <c:ser>
          <c:idx val="2"/>
          <c:order val="1"/>
          <c:tx>
            <c:strRef>
              <c:f>A!$AU$1</c:f>
              <c:strCache>
                <c:ptCount val="1"/>
                <c:pt idx="0">
                  <c:v>singleList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A!$AN$2:$AN$6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A!$AU$2:$AU$6</c:f>
              <c:numCache>
                <c:formatCode>General</c:formatCode>
                <c:ptCount val="5"/>
                <c:pt idx="0">
                  <c:v>35732.5</c:v>
                </c:pt>
                <c:pt idx="1">
                  <c:v>508300.23</c:v>
                </c:pt>
                <c:pt idx="2">
                  <c:v>2411650.1</c:v>
                </c:pt>
                <c:pt idx="3">
                  <c:v>9024904.8300000001</c:v>
                </c:pt>
                <c:pt idx="4">
                  <c:v>7476424.3300000001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82-4EF6-BB34-23D51A45463A}"/>
            </c:ext>
          </c:extLst>
        </c:ser>
        <c:ser>
          <c:idx val="3"/>
          <c:order val="2"/>
          <c:tx>
            <c:strRef>
              <c:f>A!$AV$1</c:f>
              <c:strCache>
                <c:ptCount val="1"/>
                <c:pt idx="0">
                  <c:v>doubleList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A!$AN$2:$AN$6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A!$AV$2:$AV$6</c:f>
              <c:numCache>
                <c:formatCode>General</c:formatCode>
                <c:ptCount val="5"/>
                <c:pt idx="0">
                  <c:v>33395.83</c:v>
                </c:pt>
                <c:pt idx="1">
                  <c:v>310320.83</c:v>
                </c:pt>
                <c:pt idx="2">
                  <c:v>1482405.7</c:v>
                </c:pt>
                <c:pt idx="3">
                  <c:v>4079226.37</c:v>
                </c:pt>
                <c:pt idx="4">
                  <c:v>6829752.5300000003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82-4EF6-BB34-23D51A454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3040"/>
        <c:axId val="13298032"/>
      </c:lineChart>
      <c:catAx>
        <c:axId val="1329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98032"/>
        <c:crosses val="autoZero"/>
        <c:auto val="1"/>
        <c:lblAlgn val="ctr"/>
        <c:lblOffset val="100"/>
        <c:noMultiLvlLbl val="0"/>
      </c:catAx>
      <c:valAx>
        <c:axId val="132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9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Bucket Sort</a:t>
            </a:r>
            <a:r>
              <a:rPr lang="en-GB"/>
              <a:t>- array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A!$C$3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A!$L$2:$L$6</c:f>
              <c:numCache>
                <c:formatCode>General</c:formatCode>
                <c:ptCount val="5"/>
                <c:pt idx="0">
                  <c:v>468.9</c:v>
                </c:pt>
                <c:pt idx="1">
                  <c:v>530.47</c:v>
                </c:pt>
                <c:pt idx="2">
                  <c:v>1797.37</c:v>
                </c:pt>
                <c:pt idx="3">
                  <c:v>2447.1</c:v>
                </c:pt>
                <c:pt idx="4">
                  <c:v>2482.5700000000002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F9-450B-92DA-4DEA370C8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8624"/>
        <c:axId val="1960665296"/>
      </c:lineChart>
      <c:catAx>
        <c:axId val="196066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5296"/>
        <c:crossesAt val="0"/>
        <c:auto val="1"/>
        <c:lblAlgn val="ctr"/>
        <c:lblOffset val="100"/>
        <c:noMultiLvlLbl val="0"/>
      </c:catAx>
      <c:valAx>
        <c:axId val="19606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Quick Sort</a:t>
            </a:r>
            <a:r>
              <a:rPr lang="en-GB"/>
              <a:t> - array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A!$C$3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A!$U$2:$U$6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A!$AA$2:$AA$6</c:f>
              <c:numCache>
                <c:formatCode>General</c:formatCode>
                <c:ptCount val="5"/>
                <c:pt idx="0">
                  <c:v>124.93</c:v>
                </c:pt>
                <c:pt idx="1">
                  <c:v>788.93</c:v>
                </c:pt>
                <c:pt idx="2">
                  <c:v>1669.5</c:v>
                </c:pt>
                <c:pt idx="3">
                  <c:v>2401.63</c:v>
                </c:pt>
                <c:pt idx="4">
                  <c:v>3517.47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AE-4BAD-A731-19E01BADA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0668624"/>
        <c:axId val="1960665296"/>
      </c:lineChart>
      <c:catAx>
        <c:axId val="1960668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5296"/>
        <c:crossesAt val="0"/>
        <c:auto val="1"/>
        <c:lblAlgn val="ctr"/>
        <c:lblOffset val="100"/>
        <c:noMultiLvlLbl val="0"/>
      </c:catAx>
      <c:valAx>
        <c:axId val="19606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6066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A — wpływ liczebności zbioru na czas działania Shell Sort</a:t>
            </a:r>
            <a:r>
              <a:rPr lang="en-GB"/>
              <a:t> -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strRef>
              <c:f>A!$AK$4</c:f>
              <c:strCache>
                <c:ptCount val="1"/>
                <c:pt idx="0">
                  <c:v>array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A!$AN$2:$AN$6</c:f>
              <c:numCache>
                <c:formatCode>General</c:formatCode>
                <c:ptCount val="5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  <c:pt idx="4">
                  <c:v>10000</c:v>
                </c:pt>
              </c:numCache>
            </c:numRef>
          </c:cat>
          <c:val>
            <c:numRef>
              <c:f>A!$AT$2:$AT$6</c:f>
              <c:numCache>
                <c:formatCode>General</c:formatCode>
                <c:ptCount val="5"/>
                <c:pt idx="0">
                  <c:v>247.53</c:v>
                </c:pt>
                <c:pt idx="1">
                  <c:v>1061.0999999999999</c:v>
                </c:pt>
                <c:pt idx="2">
                  <c:v>3148.73</c:v>
                </c:pt>
                <c:pt idx="3">
                  <c:v>3508.8</c:v>
                </c:pt>
                <c:pt idx="4">
                  <c:v>4813.53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F-47D1-98B9-01597C89F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93040"/>
        <c:axId val="13298032"/>
      </c:lineChart>
      <c:catAx>
        <c:axId val="13293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elementów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98032"/>
        <c:crosses val="autoZero"/>
        <c:auto val="1"/>
        <c:lblAlgn val="ctr"/>
        <c:lblOffset val="100"/>
        <c:noMultiLvlLbl val="0"/>
      </c:catAx>
      <c:valAx>
        <c:axId val="1329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29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B — wpływ rozkładu danych na czas działania Quick Sort</a:t>
            </a:r>
            <a:r>
              <a:rPr lang="ru-RU"/>
              <a:t> -</a:t>
            </a:r>
            <a:r>
              <a:rPr lang="en-GB"/>
              <a:t> list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B!$M$1</c:f>
              <c:strCache>
                <c:ptCount val="1"/>
                <c:pt idx="0">
                  <c:v>singleList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388888888888886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FA-42CF-96F7-0AED19BBB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B!$E$2:$E$5</c:f>
              <c:strCache>
                <c:ptCount val="4"/>
                <c:pt idx="0">
                  <c:v>random</c:v>
                </c:pt>
                <c:pt idx="1">
                  <c:v>ascending</c:v>
                </c:pt>
                <c:pt idx="2">
                  <c:v>ascending50Per</c:v>
                </c:pt>
                <c:pt idx="3">
                  <c:v>descending</c:v>
                </c:pt>
              </c:strCache>
            </c:strRef>
          </c:cat>
          <c:val>
            <c:numRef>
              <c:f>B!$M$2:$M$5</c:f>
              <c:numCache>
                <c:formatCode>General</c:formatCode>
                <c:ptCount val="4"/>
                <c:pt idx="0">
                  <c:v>1069645.33</c:v>
                </c:pt>
                <c:pt idx="1">
                  <c:v>384645.63</c:v>
                </c:pt>
                <c:pt idx="2">
                  <c:v>1012668.33</c:v>
                </c:pt>
                <c:pt idx="3">
                  <c:v>819953.03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A-42CF-96F7-0AED19BBB118}"/>
            </c:ext>
          </c:extLst>
        </c:ser>
        <c:ser>
          <c:idx val="1"/>
          <c:order val="1"/>
          <c:tx>
            <c:strRef>
              <c:f>B!$N$1</c:f>
              <c:strCache>
                <c:ptCount val="1"/>
                <c:pt idx="0">
                  <c:v>doubleList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7777777777777779E-3"/>
                  <c:y val="-3.80555555555555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FA-42CF-96F7-0AED19BBB118}"/>
                </c:ext>
              </c:extLst>
            </c:dLbl>
            <c:dLbl>
              <c:idx val="1"/>
              <c:layout>
                <c:manualLayout>
                  <c:x val="-5.0925337632079971E-17"/>
                  <c:y val="-4.16666666666667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FA-42CF-96F7-0AED19BBB118}"/>
                </c:ext>
              </c:extLst>
            </c:dLbl>
            <c:dLbl>
              <c:idx val="2"/>
              <c:layout>
                <c:manualLayout>
                  <c:x val="-2.7777777777777779E-3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FA-42CF-96F7-0AED19BBB118}"/>
                </c:ext>
              </c:extLst>
            </c:dLbl>
            <c:dLbl>
              <c:idx val="3"/>
              <c:layout>
                <c:manualLayout>
                  <c:x val="-1.0185067526415994E-16"/>
                  <c:y val="-4.166666666666666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FA-42CF-96F7-0AED19BBB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B!$E$2:$E$5</c:f>
              <c:strCache>
                <c:ptCount val="4"/>
                <c:pt idx="0">
                  <c:v>random</c:v>
                </c:pt>
                <c:pt idx="1">
                  <c:v>ascending</c:v>
                </c:pt>
                <c:pt idx="2">
                  <c:v>ascending50Per</c:v>
                </c:pt>
                <c:pt idx="3">
                  <c:v>descending</c:v>
                </c:pt>
              </c:strCache>
            </c:strRef>
          </c:cat>
          <c:val>
            <c:numRef>
              <c:f>B!$N$2:$N$5</c:f>
              <c:numCache>
                <c:formatCode>General</c:formatCode>
                <c:ptCount val="4"/>
                <c:pt idx="0">
                  <c:v>1068389.33</c:v>
                </c:pt>
                <c:pt idx="1">
                  <c:v>394519.67</c:v>
                </c:pt>
                <c:pt idx="2">
                  <c:v>1057388.97</c:v>
                </c:pt>
                <c:pt idx="3">
                  <c:v>827026.67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A-42CF-96F7-0AED19BBB1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6212784"/>
        <c:axId val="1616219440"/>
      </c:barChart>
      <c:catAx>
        <c:axId val="161621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Rozkład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6219440"/>
        <c:crosses val="autoZero"/>
        <c:auto val="1"/>
        <c:lblAlgn val="ctr"/>
        <c:lblOffset val="100"/>
        <c:noMultiLvlLbl val="0"/>
      </c:catAx>
      <c:valAx>
        <c:axId val="161621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621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Badanie B — wpływ rozkładu danych na czas działania Quick Sort - array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B!$C$4</c:f>
              <c:strCache>
                <c:ptCount val="1"/>
                <c:pt idx="0">
                  <c:v>array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B!$E$2:$E$5</c:f>
              <c:strCache>
                <c:ptCount val="4"/>
                <c:pt idx="0">
                  <c:v>random</c:v>
                </c:pt>
                <c:pt idx="1">
                  <c:v>ascending</c:v>
                </c:pt>
                <c:pt idx="2">
                  <c:v>ascending50Per</c:v>
                </c:pt>
                <c:pt idx="3">
                  <c:v>descending</c:v>
                </c:pt>
              </c:strCache>
            </c:strRef>
          </c:cat>
          <c:val>
            <c:numRef>
              <c:f>B!$L$2:$L$5</c:f>
              <c:numCache>
                <c:formatCode>General</c:formatCode>
                <c:ptCount val="4"/>
                <c:pt idx="0">
                  <c:v>7033.63</c:v>
                </c:pt>
                <c:pt idx="1">
                  <c:v>966.9</c:v>
                </c:pt>
                <c:pt idx="2">
                  <c:v>5637.2</c:v>
                </c:pt>
                <c:pt idx="3">
                  <c:v>1882.13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2-4A66-B687-796059B03E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91566704"/>
        <c:axId val="1891567952"/>
      </c:barChart>
      <c:catAx>
        <c:axId val="1891566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Rozkład danych</a:t>
                </a:r>
              </a:p>
            </c:rich>
          </c:tx>
          <c:layout>
            <c:manualLayout>
              <c:xMode val="edge"/>
              <c:yMode val="edge"/>
              <c:x val="0.5347768139152097"/>
              <c:y val="0.91649836625230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1567952"/>
        <c:crosses val="autoZero"/>
        <c:auto val="1"/>
        <c:lblAlgn val="ctr"/>
        <c:lblOffset val="100"/>
        <c:noMultiLvlLbl val="0"/>
      </c:catAx>
      <c:valAx>
        <c:axId val="189156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9156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2159273840769895"/>
          <c:y val="0.91737241178186057"/>
          <c:w val="7.9352849020389082E-2"/>
          <c:h val="5.82151472817638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C — wpływ typu danych na czas działania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'C'!$D$2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'C'!$L$1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'C'!$L$2</c:f>
              <c:numCache>
                <c:formatCode>General</c:formatCode>
                <c:ptCount val="1"/>
                <c:pt idx="0">
                  <c:v>2910.03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1-408E-8150-C76FDBE9DB23}"/>
            </c:ext>
          </c:extLst>
        </c:ser>
        <c:ser>
          <c:idx val="1"/>
          <c:order val="1"/>
          <c:tx>
            <c:strRef>
              <c:f>'C'!$D$3</c:f>
              <c:strCache>
                <c:ptCount val="1"/>
                <c:pt idx="0">
                  <c:v>double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'C'!$L$1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'C'!$L$3</c:f>
              <c:numCache>
                <c:formatCode>General</c:formatCode>
                <c:ptCount val="1"/>
                <c:pt idx="0">
                  <c:v>46019.17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B1-408E-8150-C76FDBE9DB23}"/>
            </c:ext>
          </c:extLst>
        </c:ser>
        <c:ser>
          <c:idx val="2"/>
          <c:order val="2"/>
          <c:tx>
            <c:strRef>
              <c:f>'C'!$D$4</c:f>
              <c:strCache>
                <c:ptCount val="1"/>
                <c:pt idx="0">
                  <c:v>unsignedInt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'C'!$L$1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'C'!$L$4</c:f>
              <c:numCache>
                <c:formatCode>General</c:formatCode>
                <c:ptCount val="1"/>
                <c:pt idx="0">
                  <c:v>1923.57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B1-408E-8150-C76FDBE9DB23}"/>
            </c:ext>
          </c:extLst>
        </c:ser>
        <c:ser>
          <c:idx val="3"/>
          <c:order val="3"/>
          <c:tx>
            <c:strRef>
              <c:f>'C'!$D$5</c:f>
              <c:strCache>
                <c:ptCount val="1"/>
                <c:pt idx="0">
                  <c:v>string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'C'!$L$1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'C'!$L$5</c:f>
              <c:numCache>
                <c:formatCode>General</c:formatCode>
                <c:ptCount val="1"/>
                <c:pt idx="0">
                  <c:v>11591.53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B1-408E-8150-C76FDBE9DB2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8896400"/>
        <c:axId val="2028899728"/>
      </c:barChart>
      <c:catAx>
        <c:axId val="20288964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Typ danych</a:t>
                </a:r>
                <a:r>
                  <a:rPr lang="en-GB"/>
                  <a:t> 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41890913270877639"/>
              <c:y val="0.86038078313951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2028899728"/>
        <c:crosses val="autoZero"/>
        <c:auto val="1"/>
        <c:lblAlgn val="ctr"/>
        <c:lblOffset val="100"/>
        <c:noMultiLvlLbl val="0"/>
      </c:catAx>
      <c:valAx>
        <c:axId val="202889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288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Badanie </a:t>
            </a:r>
            <a:r>
              <a:rPr lang="el-GR"/>
              <a:t>Ω — </a:t>
            </a:r>
            <a:r>
              <a:rPr lang="pl-PL"/>
              <a:t>porównanie struktur danych dla Quick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Omega!$C$2</c:f>
              <c:strCache>
                <c:ptCount val="1"/>
                <c:pt idx="0">
                  <c:v>array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Omega!$L$1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Omega!$L$2</c:f>
              <c:numCache>
                <c:formatCode>General</c:formatCode>
                <c:ptCount val="1"/>
                <c:pt idx="0">
                  <c:v>2373.0700000000002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6-4E35-B347-8BB2814D82F0}"/>
            </c:ext>
          </c:extLst>
        </c:ser>
        <c:ser>
          <c:idx val="1"/>
          <c:order val="1"/>
          <c:tx>
            <c:strRef>
              <c:f>Omega!$C$3</c:f>
              <c:strCache>
                <c:ptCount val="1"/>
                <c:pt idx="0">
                  <c:v>singleList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Omega!$L$1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Omega!$L$3</c:f>
              <c:numCache>
                <c:formatCode>General</c:formatCode>
                <c:ptCount val="1"/>
                <c:pt idx="0">
                  <c:v>996322.33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6-4E35-B347-8BB2814D82F0}"/>
            </c:ext>
          </c:extLst>
        </c:ser>
        <c:ser>
          <c:idx val="2"/>
          <c:order val="2"/>
          <c:tx>
            <c:strRef>
              <c:f>Omega!$C$4</c:f>
              <c:strCache>
                <c:ptCount val="1"/>
                <c:pt idx="0">
                  <c:v>doubleList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Omega!$L$1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Omega!$L$4</c:f>
              <c:numCache>
                <c:formatCode>General</c:formatCode>
                <c:ptCount val="1"/>
                <c:pt idx="0">
                  <c:v>1060340.43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6-4E35-B347-8BB2814D82F0}"/>
            </c:ext>
          </c:extLst>
        </c:ser>
        <c:ser>
          <c:idx val="3"/>
          <c:order val="3"/>
          <c:tx>
            <c:strRef>
              <c:f>Omega!$C$5</c:f>
              <c:strCache>
                <c:ptCount val="1"/>
                <c:pt idx="0">
                  <c:v>stack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Omega!$L$1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Omega!$L$5</c:f>
              <c:numCache>
                <c:formatCode>General</c:formatCode>
                <c:ptCount val="1"/>
                <c:pt idx="0">
                  <c:v>1043263.8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76-4E35-B347-8BB2814D82F0}"/>
            </c:ext>
          </c:extLst>
        </c:ser>
        <c:ser>
          <c:idx val="4"/>
          <c:order val="4"/>
          <c:tx>
            <c:strRef>
              <c:f>Omega!$C$6</c:f>
              <c:strCache>
                <c:ptCount val="1"/>
                <c:pt idx="0">
                  <c:v>binaryTree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Omega!$L$1</c:f>
              <c:strCache>
                <c:ptCount val="1"/>
                <c:pt idx="0">
                  <c:v>avg_us</c:v>
                </c:pt>
              </c:strCache>
            </c:strRef>
          </c:cat>
          <c:val>
            <c:numRef>
              <c:f>Omega!$L$6</c:f>
              <c:numCache>
                <c:formatCode>General</c:formatCode>
                <c:ptCount val="1"/>
                <c:pt idx="0">
                  <c:v>17612.03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76-4E35-B347-8BB2814D82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40645552"/>
        <c:axId val="340630992"/>
      </c:barChart>
      <c:catAx>
        <c:axId val="34064555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Struktura danych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crossAx val="340630992"/>
        <c:crosses val="autoZero"/>
        <c:auto val="1"/>
        <c:lblAlgn val="ctr"/>
        <c:lblOffset val="100"/>
        <c:noMultiLvlLbl val="0"/>
      </c:catAx>
      <c:valAx>
        <c:axId val="34063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Średni czas [us]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4064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171449</xdr:colOff>
      <xdr:row>7</xdr:row>
      <xdr:rowOff>128587</xdr:rowOff>
    </xdr:from>
    <xdr:to>
      <xdr:col>9</xdr:col>
      <xdr:colOff>380999</xdr:colOff>
      <xdr:row>23</xdr:row>
      <xdr:rowOff>13607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C92D37E-AA40-4476-8022-6DAC3835C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114299</xdr:colOff>
      <xdr:row>6</xdr:row>
      <xdr:rowOff>42862</xdr:rowOff>
    </xdr:from>
    <xdr:to>
      <xdr:col>23</xdr:col>
      <xdr:colOff>323849</xdr:colOff>
      <xdr:row>21</xdr:row>
      <xdr:rowOff>118382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894E9024-FDD5-4AE8-BF0A-FD82DDE5C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276224</xdr:colOff>
      <xdr:row>18</xdr:row>
      <xdr:rowOff>71437</xdr:rowOff>
    </xdr:from>
    <xdr:to>
      <xdr:col>26</xdr:col>
      <xdr:colOff>609599</xdr:colOff>
      <xdr:row>37</xdr:row>
      <xdr:rowOff>47625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D042751C-C09B-491C-8F08-318E754D6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324971</xdr:colOff>
      <xdr:row>18</xdr:row>
      <xdr:rowOff>22412</xdr:rowOff>
    </xdr:from>
    <xdr:to>
      <xdr:col>11</xdr:col>
      <xdr:colOff>53228</xdr:colOff>
      <xdr:row>36</xdr:row>
      <xdr:rowOff>189100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563D2848-51B9-4D20-84FC-CCDE0795C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453837</xdr:colOff>
      <xdr:row>17</xdr:row>
      <xdr:rowOff>12325</xdr:rowOff>
    </xdr:from>
    <xdr:to>
      <xdr:col>46</xdr:col>
      <xdr:colOff>89646</xdr:colOff>
      <xdr:row>36</xdr:row>
      <xdr:rowOff>33617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4B002670-0E37-4B51-AFA1-6DF969CCF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358588</xdr:colOff>
      <xdr:row>38</xdr:row>
      <xdr:rowOff>179293</xdr:rowOff>
    </xdr:from>
    <xdr:to>
      <xdr:col>11</xdr:col>
      <xdr:colOff>86845</xdr:colOff>
      <xdr:row>57</xdr:row>
      <xdr:rowOff>155481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FD524020-68DD-4412-AAB7-FE7B54640B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224118</xdr:colOff>
      <xdr:row>39</xdr:row>
      <xdr:rowOff>78441</xdr:rowOff>
    </xdr:from>
    <xdr:to>
      <xdr:col>26</xdr:col>
      <xdr:colOff>557493</xdr:colOff>
      <xdr:row>58</xdr:row>
      <xdr:rowOff>54629</xdr:rowOff>
    </xdr:to>
    <xdr:graphicFrame macro="">
      <xdr:nvGraphicFramePr>
        <xdr:cNvPr id="12" name="Wykres 11">
          <a:extLst>
            <a:ext uri="{FF2B5EF4-FFF2-40B4-BE49-F238E27FC236}">
              <a16:creationId xmlns:a16="http://schemas.microsoft.com/office/drawing/2014/main" id="{0B3ABE4C-67E3-42D5-8689-4CF40A6DCA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537882</xdr:colOff>
      <xdr:row>38</xdr:row>
      <xdr:rowOff>134471</xdr:rowOff>
    </xdr:from>
    <xdr:to>
      <xdr:col>46</xdr:col>
      <xdr:colOff>173691</xdr:colOff>
      <xdr:row>57</xdr:row>
      <xdr:rowOff>155763</xdr:rowOff>
    </xdr:to>
    <xdr:graphicFrame macro="">
      <xdr:nvGraphicFramePr>
        <xdr:cNvPr id="13" name="Wykres 12">
          <a:extLst>
            <a:ext uri="{FF2B5EF4-FFF2-40B4-BE49-F238E27FC236}">
              <a16:creationId xmlns:a16="http://schemas.microsoft.com/office/drawing/2014/main" id="{FD055A14-1A91-4719-AE7A-CFF6973FF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16</xdr:row>
      <xdr:rowOff>90486</xdr:rowOff>
    </xdr:from>
    <xdr:to>
      <xdr:col>12</xdr:col>
      <xdr:colOff>590550</xdr:colOff>
      <xdr:row>35</xdr:row>
      <xdr:rowOff>152399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F11832B-A20C-4B45-9824-1D08043EA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428625</xdr:colOff>
      <xdr:row>36</xdr:row>
      <xdr:rowOff>4761</xdr:rowOff>
    </xdr:from>
    <xdr:to>
      <xdr:col>12</xdr:col>
      <xdr:colOff>561975</xdr:colOff>
      <xdr:row>55</xdr:row>
      <xdr:rowOff>66674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5D4F122-5CFD-49BE-9A36-29D46FD2F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8</xdr:row>
      <xdr:rowOff>33336</xdr:rowOff>
    </xdr:from>
    <xdr:to>
      <xdr:col>12</xdr:col>
      <xdr:colOff>485775</xdr:colOff>
      <xdr:row>27</xdr:row>
      <xdr:rowOff>95249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518C317-AFFB-4BE4-BB27-12D58978F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152399</xdr:colOff>
      <xdr:row>10</xdr:row>
      <xdr:rowOff>90486</xdr:rowOff>
    </xdr:from>
    <xdr:to>
      <xdr:col>12</xdr:col>
      <xdr:colOff>571500</xdr:colOff>
      <xdr:row>29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24CEF13-4381-4768-BD20-43164F80C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zoomScaleNormal="100" workbookViewId="0">
      <selection activeCell="O16" sqref="O16"/>
    </sheetView>
  </sheetViews>
  <sheetFormatPr defaultRowHeight="15" x14ac:dyDescent="0.25"/>
  <cols>
    <col min="1" max="1" width="15.5703125" customWidth="1"/>
    <col min="15" max="15" width="17.28515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  <c r="Z1" t="s">
        <v>11</v>
      </c>
    </row>
    <row r="2" spans="1:26" x14ac:dyDescent="0.25">
      <c r="A2" s="1">
        <v>46131.906481481485</v>
      </c>
      <c r="B2" t="s">
        <v>12</v>
      </c>
      <c r="C2" t="s">
        <v>13</v>
      </c>
      <c r="D2" t="s">
        <v>14</v>
      </c>
      <c r="E2" t="s">
        <v>15</v>
      </c>
      <c r="F2">
        <v>5000</v>
      </c>
      <c r="G2">
        <v>30</v>
      </c>
      <c r="H2" t="s">
        <v>15</v>
      </c>
      <c r="I2" t="s">
        <v>16</v>
      </c>
      <c r="J2">
        <v>720</v>
      </c>
      <c r="K2">
        <v>7839</v>
      </c>
      <c r="L2">
        <v>1439.33</v>
      </c>
      <c r="O2" s="1">
        <v>46131.907129629632</v>
      </c>
      <c r="P2" t="s">
        <v>19</v>
      </c>
      <c r="Q2" t="s">
        <v>13</v>
      </c>
      <c r="R2" t="s">
        <v>14</v>
      </c>
      <c r="S2" t="s">
        <v>15</v>
      </c>
      <c r="T2">
        <v>5000</v>
      </c>
      <c r="U2">
        <v>30</v>
      </c>
      <c r="V2" t="s">
        <v>16</v>
      </c>
      <c r="W2" t="s">
        <v>20</v>
      </c>
      <c r="X2">
        <v>1604</v>
      </c>
      <c r="Y2">
        <v>7941</v>
      </c>
      <c r="Z2">
        <v>2629.6</v>
      </c>
    </row>
    <row r="3" spans="1:26" x14ac:dyDescent="0.25">
      <c r="A3" s="1">
        <v>46131.906481481485</v>
      </c>
      <c r="B3" t="s">
        <v>12</v>
      </c>
      <c r="C3" t="s">
        <v>13</v>
      </c>
      <c r="D3" t="s">
        <v>14</v>
      </c>
      <c r="E3" t="s">
        <v>15</v>
      </c>
      <c r="F3">
        <v>5000</v>
      </c>
      <c r="G3">
        <v>30</v>
      </c>
      <c r="H3" t="s">
        <v>17</v>
      </c>
      <c r="I3" t="s">
        <v>16</v>
      </c>
      <c r="J3">
        <v>687</v>
      </c>
      <c r="K3">
        <v>1234</v>
      </c>
      <c r="L3">
        <v>776</v>
      </c>
      <c r="O3" s="1">
        <v>46131.907129629632</v>
      </c>
      <c r="P3" t="s">
        <v>19</v>
      </c>
      <c r="Q3" t="s">
        <v>13</v>
      </c>
      <c r="R3" t="s">
        <v>14</v>
      </c>
      <c r="S3" t="s">
        <v>15</v>
      </c>
      <c r="T3">
        <v>5000</v>
      </c>
      <c r="U3">
        <v>30</v>
      </c>
      <c r="V3" t="s">
        <v>16</v>
      </c>
      <c r="W3" t="s">
        <v>21</v>
      </c>
      <c r="X3">
        <v>1373</v>
      </c>
      <c r="Y3">
        <v>7177</v>
      </c>
      <c r="Z3">
        <v>2239.4699999999998</v>
      </c>
    </row>
    <row r="4" spans="1:26" x14ac:dyDescent="0.25">
      <c r="A4" s="1">
        <v>46131.906481481485</v>
      </c>
      <c r="B4" t="s">
        <v>12</v>
      </c>
      <c r="C4" t="s">
        <v>13</v>
      </c>
      <c r="D4" t="s">
        <v>14</v>
      </c>
      <c r="E4" t="s">
        <v>15</v>
      </c>
      <c r="F4">
        <v>5000</v>
      </c>
      <c r="G4">
        <v>30</v>
      </c>
      <c r="H4" t="s">
        <v>18</v>
      </c>
      <c r="I4" t="s">
        <v>16</v>
      </c>
      <c r="J4">
        <v>768</v>
      </c>
      <c r="K4">
        <v>7801</v>
      </c>
      <c r="L4">
        <v>1369.6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65AA-F545-41DE-89F9-D99A471A7E18}">
  <dimension ref="A1:AV16"/>
  <sheetViews>
    <sheetView tabSelected="1" topLeftCell="A13" zoomScale="85" workbookViewId="0">
      <selection activeCell="P21" sqref="P21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tr">
        <f>C7</f>
        <v>singleList</v>
      </c>
      <c r="N1" t="str">
        <f>C14</f>
        <v>doubleList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tr">
        <f>R7</f>
        <v>singleList</v>
      </c>
      <c r="AC1" t="str">
        <f>R14</f>
        <v>doubleList</v>
      </c>
      <c r="AI1" t="s">
        <v>0</v>
      </c>
      <c r="AJ1" t="s">
        <v>1</v>
      </c>
      <c r="AK1" t="s">
        <v>2</v>
      </c>
      <c r="AL1" t="s">
        <v>3</v>
      </c>
      <c r="AM1" t="s">
        <v>4</v>
      </c>
      <c r="AN1" t="s">
        <v>5</v>
      </c>
      <c r="AO1" t="s">
        <v>6</v>
      </c>
      <c r="AP1" t="s">
        <v>7</v>
      </c>
      <c r="AQ1" t="s">
        <v>8</v>
      </c>
      <c r="AR1" t="s">
        <v>9</v>
      </c>
      <c r="AS1" t="s">
        <v>10</v>
      </c>
      <c r="AT1" t="s">
        <v>11</v>
      </c>
      <c r="AU1" t="str">
        <f>AK7</f>
        <v>singleList</v>
      </c>
      <c r="AV1" t="str">
        <f>AK14</f>
        <v>doubleList</v>
      </c>
    </row>
    <row r="2" spans="1:48" x14ac:dyDescent="0.25">
      <c r="A2" s="1">
        <v>46176.862500000003</v>
      </c>
      <c r="B2" t="s">
        <v>22</v>
      </c>
      <c r="C2" t="s">
        <v>13</v>
      </c>
      <c r="D2" t="s">
        <v>14</v>
      </c>
      <c r="E2" t="s">
        <v>15</v>
      </c>
      <c r="F2">
        <v>1000</v>
      </c>
      <c r="G2">
        <v>30</v>
      </c>
      <c r="H2" t="s">
        <v>16</v>
      </c>
      <c r="I2" t="s">
        <v>16</v>
      </c>
      <c r="J2">
        <v>84</v>
      </c>
      <c r="K2">
        <v>2609</v>
      </c>
      <c r="L2">
        <v>468.9</v>
      </c>
      <c r="M2">
        <f>L7</f>
        <v>3816.13</v>
      </c>
      <c r="N2">
        <f>L12</f>
        <v>3486.37</v>
      </c>
      <c r="P2" s="1">
        <v>46131.907546296294</v>
      </c>
      <c r="Q2" t="s">
        <v>12</v>
      </c>
      <c r="R2" t="s">
        <v>13</v>
      </c>
      <c r="S2" t="s">
        <v>14</v>
      </c>
      <c r="T2" t="s">
        <v>15</v>
      </c>
      <c r="U2">
        <v>1000</v>
      </c>
      <c r="V2">
        <v>30</v>
      </c>
      <c r="W2" t="s">
        <v>17</v>
      </c>
      <c r="X2" t="s">
        <v>16</v>
      </c>
      <c r="Y2">
        <v>102</v>
      </c>
      <c r="Z2">
        <v>212</v>
      </c>
      <c r="AA2">
        <v>124.93</v>
      </c>
      <c r="AB2">
        <f>AA7</f>
        <v>27995.03</v>
      </c>
      <c r="AC2">
        <f>AA12</f>
        <v>26280.67</v>
      </c>
      <c r="AI2" s="1">
        <v>46131.914409722223</v>
      </c>
      <c r="AJ2" t="s">
        <v>19</v>
      </c>
      <c r="AK2" t="s">
        <v>13</v>
      </c>
      <c r="AL2" t="s">
        <v>14</v>
      </c>
      <c r="AM2" t="s">
        <v>15</v>
      </c>
      <c r="AN2">
        <v>1000</v>
      </c>
      <c r="AO2">
        <v>30</v>
      </c>
      <c r="AP2" t="s">
        <v>16</v>
      </c>
      <c r="AQ2" t="s">
        <v>21</v>
      </c>
      <c r="AR2">
        <v>162</v>
      </c>
      <c r="AS2">
        <v>532</v>
      </c>
      <c r="AT2">
        <v>247.53</v>
      </c>
      <c r="AU2">
        <f>AT7</f>
        <v>35732.5</v>
      </c>
      <c r="AV2">
        <f>AT12</f>
        <v>33395.83</v>
      </c>
    </row>
    <row r="3" spans="1:48" x14ac:dyDescent="0.25">
      <c r="A3" s="1">
        <v>46176.862500000003</v>
      </c>
      <c r="B3" t="s">
        <v>22</v>
      </c>
      <c r="C3" t="s">
        <v>13</v>
      </c>
      <c r="D3" t="s">
        <v>14</v>
      </c>
      <c r="E3" t="s">
        <v>15</v>
      </c>
      <c r="F3">
        <v>2500</v>
      </c>
      <c r="G3">
        <v>30</v>
      </c>
      <c r="H3" t="s">
        <v>16</v>
      </c>
      <c r="I3" t="s">
        <v>16</v>
      </c>
      <c r="J3">
        <v>221</v>
      </c>
      <c r="K3">
        <v>1923</v>
      </c>
      <c r="L3">
        <v>530.47</v>
      </c>
      <c r="M3">
        <f t="shared" ref="M3:M6" si="0">L8</f>
        <v>57756.13</v>
      </c>
      <c r="N3">
        <f t="shared" ref="N3:N6" si="1">L13</f>
        <v>46595.33</v>
      </c>
      <c r="P3" s="1">
        <v>46131.907546296294</v>
      </c>
      <c r="Q3" t="s">
        <v>12</v>
      </c>
      <c r="R3" t="s">
        <v>13</v>
      </c>
      <c r="S3" t="s">
        <v>14</v>
      </c>
      <c r="T3" t="s">
        <v>15</v>
      </c>
      <c r="U3">
        <v>2500</v>
      </c>
      <c r="V3">
        <v>30</v>
      </c>
      <c r="W3" t="s">
        <v>17</v>
      </c>
      <c r="X3" t="s">
        <v>16</v>
      </c>
      <c r="Y3">
        <v>365</v>
      </c>
      <c r="Z3">
        <v>3416</v>
      </c>
      <c r="AA3">
        <v>788.93</v>
      </c>
      <c r="AB3">
        <f t="shared" ref="AB3:AB6" si="2">AA8</f>
        <v>247976.33</v>
      </c>
      <c r="AC3">
        <f t="shared" ref="AC3:AC6" si="3">AA13</f>
        <v>237755.77</v>
      </c>
      <c r="AI3" s="1">
        <v>46131.914409722223</v>
      </c>
      <c r="AJ3" t="s">
        <v>19</v>
      </c>
      <c r="AK3" t="s">
        <v>13</v>
      </c>
      <c r="AL3" t="s">
        <v>14</v>
      </c>
      <c r="AM3" t="s">
        <v>15</v>
      </c>
      <c r="AN3">
        <v>2500</v>
      </c>
      <c r="AO3">
        <v>30</v>
      </c>
      <c r="AP3" t="s">
        <v>16</v>
      </c>
      <c r="AQ3" t="s">
        <v>21</v>
      </c>
      <c r="AR3">
        <v>545</v>
      </c>
      <c r="AS3">
        <v>5938</v>
      </c>
      <c r="AT3">
        <v>1061.0999999999999</v>
      </c>
      <c r="AU3">
        <f t="shared" ref="AU3:AU6" si="4">AT8</f>
        <v>508300.23</v>
      </c>
      <c r="AV3">
        <f t="shared" ref="AV3:AV6" si="5">AT13</f>
        <v>310320.83</v>
      </c>
    </row>
    <row r="4" spans="1:48" x14ac:dyDescent="0.25">
      <c r="A4" s="1">
        <v>46176.862500000003</v>
      </c>
      <c r="B4" t="s">
        <v>22</v>
      </c>
      <c r="C4" t="s">
        <v>13</v>
      </c>
      <c r="D4" t="s">
        <v>14</v>
      </c>
      <c r="E4" t="s">
        <v>15</v>
      </c>
      <c r="F4">
        <v>5000</v>
      </c>
      <c r="G4">
        <v>30</v>
      </c>
      <c r="H4" t="s">
        <v>16</v>
      </c>
      <c r="I4" t="s">
        <v>16</v>
      </c>
      <c r="J4">
        <v>469</v>
      </c>
      <c r="K4">
        <v>9358</v>
      </c>
      <c r="L4">
        <v>1797.37</v>
      </c>
      <c r="M4">
        <f t="shared" si="0"/>
        <v>118354.73</v>
      </c>
      <c r="N4">
        <f t="shared" si="1"/>
        <v>109396.87</v>
      </c>
      <c r="P4" s="1">
        <v>46131.907546296294</v>
      </c>
      <c r="Q4" t="s">
        <v>12</v>
      </c>
      <c r="R4" t="s">
        <v>13</v>
      </c>
      <c r="S4" t="s">
        <v>14</v>
      </c>
      <c r="T4" t="s">
        <v>15</v>
      </c>
      <c r="U4">
        <v>5000</v>
      </c>
      <c r="V4">
        <v>30</v>
      </c>
      <c r="W4" t="s">
        <v>17</v>
      </c>
      <c r="X4" t="s">
        <v>16</v>
      </c>
      <c r="Y4">
        <v>828</v>
      </c>
      <c r="Z4">
        <v>5333</v>
      </c>
      <c r="AA4">
        <v>1669.5</v>
      </c>
      <c r="AB4">
        <f t="shared" si="2"/>
        <v>999787.77</v>
      </c>
      <c r="AC4">
        <f t="shared" si="3"/>
        <v>1001803.3</v>
      </c>
      <c r="AI4" s="1">
        <v>46131.914409722223</v>
      </c>
      <c r="AJ4" t="s">
        <v>19</v>
      </c>
      <c r="AK4" t="s">
        <v>13</v>
      </c>
      <c r="AL4" t="s">
        <v>14</v>
      </c>
      <c r="AM4" t="s">
        <v>15</v>
      </c>
      <c r="AN4">
        <v>5000</v>
      </c>
      <c r="AO4">
        <v>30</v>
      </c>
      <c r="AP4" t="s">
        <v>16</v>
      </c>
      <c r="AQ4" t="s">
        <v>21</v>
      </c>
      <c r="AR4">
        <v>1378</v>
      </c>
      <c r="AS4">
        <v>6666</v>
      </c>
      <c r="AT4">
        <v>3148.73</v>
      </c>
      <c r="AU4">
        <f t="shared" si="4"/>
        <v>2411650.1</v>
      </c>
      <c r="AV4">
        <f t="shared" si="5"/>
        <v>1482405.7</v>
      </c>
    </row>
    <row r="5" spans="1:48" x14ac:dyDescent="0.25">
      <c r="A5" s="1">
        <v>46176.862511574072</v>
      </c>
      <c r="B5" t="s">
        <v>22</v>
      </c>
      <c r="C5" t="s">
        <v>13</v>
      </c>
      <c r="D5" t="s">
        <v>14</v>
      </c>
      <c r="E5" t="s">
        <v>15</v>
      </c>
      <c r="F5">
        <v>7500</v>
      </c>
      <c r="G5">
        <v>30</v>
      </c>
      <c r="H5" t="s">
        <v>16</v>
      </c>
      <c r="I5" t="s">
        <v>16</v>
      </c>
      <c r="J5">
        <v>711</v>
      </c>
      <c r="K5">
        <v>11471</v>
      </c>
      <c r="L5">
        <v>2447.1</v>
      </c>
      <c r="M5">
        <f t="shared" si="0"/>
        <v>247805.53</v>
      </c>
      <c r="N5">
        <f t="shared" si="1"/>
        <v>213164.23</v>
      </c>
      <c r="P5" s="1">
        <v>46131.907546296294</v>
      </c>
      <c r="Q5" t="s">
        <v>12</v>
      </c>
      <c r="R5" t="s">
        <v>13</v>
      </c>
      <c r="S5" t="s">
        <v>14</v>
      </c>
      <c r="T5" t="s">
        <v>15</v>
      </c>
      <c r="U5">
        <v>7500</v>
      </c>
      <c r="V5">
        <v>30</v>
      </c>
      <c r="W5" t="s">
        <v>17</v>
      </c>
      <c r="X5" t="s">
        <v>16</v>
      </c>
      <c r="Y5">
        <v>1337</v>
      </c>
      <c r="Z5">
        <v>6806</v>
      </c>
      <c r="AA5">
        <v>2401.63</v>
      </c>
      <c r="AB5">
        <f t="shared" si="2"/>
        <v>2896449.77</v>
      </c>
      <c r="AC5">
        <f t="shared" si="3"/>
        <v>2939838.27</v>
      </c>
      <c r="AI5" s="1">
        <v>46131.914409722223</v>
      </c>
      <c r="AJ5" t="s">
        <v>19</v>
      </c>
      <c r="AK5" t="s">
        <v>13</v>
      </c>
      <c r="AL5" t="s">
        <v>14</v>
      </c>
      <c r="AM5" t="s">
        <v>15</v>
      </c>
      <c r="AN5">
        <v>7500</v>
      </c>
      <c r="AO5">
        <v>30</v>
      </c>
      <c r="AP5" t="s">
        <v>16</v>
      </c>
      <c r="AQ5" t="s">
        <v>21</v>
      </c>
      <c r="AR5">
        <v>2133</v>
      </c>
      <c r="AS5">
        <v>13549</v>
      </c>
      <c r="AT5">
        <v>3508.8</v>
      </c>
      <c r="AU5">
        <f t="shared" si="4"/>
        <v>9024904.8300000001</v>
      </c>
      <c r="AV5">
        <f t="shared" si="5"/>
        <v>4079226.37</v>
      </c>
    </row>
    <row r="6" spans="1:48" x14ac:dyDescent="0.25">
      <c r="A6" s="1">
        <v>46176.862511574072</v>
      </c>
      <c r="B6" t="s">
        <v>22</v>
      </c>
      <c r="C6" t="s">
        <v>13</v>
      </c>
      <c r="D6" t="s">
        <v>14</v>
      </c>
      <c r="E6" t="s">
        <v>15</v>
      </c>
      <c r="F6">
        <v>10000</v>
      </c>
      <c r="G6">
        <v>30</v>
      </c>
      <c r="H6" t="s">
        <v>16</v>
      </c>
      <c r="I6" t="s">
        <v>16</v>
      </c>
      <c r="J6">
        <v>1120</v>
      </c>
      <c r="K6">
        <v>9540</v>
      </c>
      <c r="L6">
        <v>2482.5700000000002</v>
      </c>
      <c r="M6">
        <f t="shared" si="0"/>
        <v>364215.53</v>
      </c>
      <c r="N6">
        <f t="shared" si="1"/>
        <v>288694.53000000003</v>
      </c>
      <c r="P6" s="1">
        <v>46131.907546296294</v>
      </c>
      <c r="Q6" t="s">
        <v>12</v>
      </c>
      <c r="R6" t="s">
        <v>13</v>
      </c>
      <c r="S6" t="s">
        <v>14</v>
      </c>
      <c r="T6" t="s">
        <v>15</v>
      </c>
      <c r="U6">
        <v>10000</v>
      </c>
      <c r="V6">
        <v>30</v>
      </c>
      <c r="W6" t="s">
        <v>17</v>
      </c>
      <c r="X6" t="s">
        <v>16</v>
      </c>
      <c r="Y6">
        <v>1964</v>
      </c>
      <c r="Z6">
        <v>9659</v>
      </c>
      <c r="AA6">
        <v>3517.47</v>
      </c>
      <c r="AB6">
        <f t="shared" si="2"/>
        <v>4450523.13</v>
      </c>
      <c r="AC6">
        <f t="shared" si="3"/>
        <v>4234025.4000000004</v>
      </c>
      <c r="AI6" s="1">
        <v>46131.914409722223</v>
      </c>
      <c r="AJ6" t="s">
        <v>19</v>
      </c>
      <c r="AK6" t="s">
        <v>13</v>
      </c>
      <c r="AL6" t="s">
        <v>14</v>
      </c>
      <c r="AM6" t="s">
        <v>15</v>
      </c>
      <c r="AN6">
        <v>10000</v>
      </c>
      <c r="AO6">
        <v>30</v>
      </c>
      <c r="AP6" t="s">
        <v>16</v>
      </c>
      <c r="AQ6" t="s">
        <v>21</v>
      </c>
      <c r="AR6">
        <v>3216</v>
      </c>
      <c r="AS6">
        <v>12420</v>
      </c>
      <c r="AT6">
        <v>4813.53</v>
      </c>
      <c r="AU6">
        <f t="shared" si="4"/>
        <v>7476424.3300000001</v>
      </c>
      <c r="AV6">
        <f t="shared" si="5"/>
        <v>6829752.5300000003</v>
      </c>
    </row>
    <row r="7" spans="1:48" x14ac:dyDescent="0.25">
      <c r="A7" s="1">
        <v>46176.862511574072</v>
      </c>
      <c r="B7" t="s">
        <v>22</v>
      </c>
      <c r="C7" t="s">
        <v>23</v>
      </c>
      <c r="D7" t="s">
        <v>14</v>
      </c>
      <c r="E7" t="s">
        <v>15</v>
      </c>
      <c r="F7">
        <v>1000</v>
      </c>
      <c r="G7">
        <v>30</v>
      </c>
      <c r="H7" t="s">
        <v>16</v>
      </c>
      <c r="I7" t="s">
        <v>16</v>
      </c>
      <c r="J7">
        <v>2206</v>
      </c>
      <c r="K7">
        <v>12908</v>
      </c>
      <c r="L7">
        <v>3816.13</v>
      </c>
      <c r="P7" s="1">
        <v>46131.907592592594</v>
      </c>
      <c r="Q7" t="s">
        <v>12</v>
      </c>
      <c r="R7" t="s">
        <v>23</v>
      </c>
      <c r="S7" t="s">
        <v>14</v>
      </c>
      <c r="T7" t="s">
        <v>15</v>
      </c>
      <c r="U7">
        <v>1000</v>
      </c>
      <c r="V7">
        <v>30</v>
      </c>
      <c r="W7" t="s">
        <v>17</v>
      </c>
      <c r="X7" t="s">
        <v>16</v>
      </c>
      <c r="Y7">
        <v>21443</v>
      </c>
      <c r="Z7">
        <v>64634</v>
      </c>
      <c r="AA7">
        <v>27995.03</v>
      </c>
      <c r="AI7" s="1">
        <v>46131.914467592593</v>
      </c>
      <c r="AJ7" t="s">
        <v>19</v>
      </c>
      <c r="AK7" t="s">
        <v>23</v>
      </c>
      <c r="AL7" t="s">
        <v>14</v>
      </c>
      <c r="AM7" t="s">
        <v>15</v>
      </c>
      <c r="AN7">
        <v>1000</v>
      </c>
      <c r="AO7">
        <v>30</v>
      </c>
      <c r="AP7" t="s">
        <v>16</v>
      </c>
      <c r="AQ7" t="s">
        <v>21</v>
      </c>
      <c r="AR7">
        <v>27939</v>
      </c>
      <c r="AS7">
        <v>63009</v>
      </c>
      <c r="AT7">
        <v>35732.5</v>
      </c>
    </row>
    <row r="8" spans="1:48" x14ac:dyDescent="0.25">
      <c r="A8" s="1">
        <v>46176.862546296295</v>
      </c>
      <c r="B8" t="s">
        <v>22</v>
      </c>
      <c r="C8" t="s">
        <v>23</v>
      </c>
      <c r="D8" t="s">
        <v>14</v>
      </c>
      <c r="E8" t="s">
        <v>15</v>
      </c>
      <c r="F8">
        <v>2500</v>
      </c>
      <c r="G8">
        <v>30</v>
      </c>
      <c r="H8" t="s">
        <v>16</v>
      </c>
      <c r="I8" t="s">
        <v>16</v>
      </c>
      <c r="J8">
        <v>28414</v>
      </c>
      <c r="K8">
        <v>140495</v>
      </c>
      <c r="L8">
        <v>57756.13</v>
      </c>
      <c r="P8" s="1">
        <v>46131.907685185186</v>
      </c>
      <c r="Q8" t="s">
        <v>12</v>
      </c>
      <c r="R8" t="s">
        <v>23</v>
      </c>
      <c r="S8" t="s">
        <v>14</v>
      </c>
      <c r="T8" t="s">
        <v>15</v>
      </c>
      <c r="U8">
        <v>2500</v>
      </c>
      <c r="V8">
        <v>30</v>
      </c>
      <c r="W8" t="s">
        <v>17</v>
      </c>
      <c r="X8" t="s">
        <v>16</v>
      </c>
      <c r="Y8">
        <v>179894</v>
      </c>
      <c r="Z8">
        <v>323992</v>
      </c>
      <c r="AA8">
        <v>247976.33</v>
      </c>
      <c r="AI8" s="1">
        <v>46131.914664351854</v>
      </c>
      <c r="AJ8" t="s">
        <v>19</v>
      </c>
      <c r="AK8" t="s">
        <v>23</v>
      </c>
      <c r="AL8" t="s">
        <v>14</v>
      </c>
      <c r="AM8" t="s">
        <v>15</v>
      </c>
      <c r="AN8">
        <v>2500</v>
      </c>
      <c r="AO8">
        <v>30</v>
      </c>
      <c r="AP8" t="s">
        <v>16</v>
      </c>
      <c r="AQ8" t="s">
        <v>21</v>
      </c>
      <c r="AR8">
        <v>229215</v>
      </c>
      <c r="AS8">
        <v>806195</v>
      </c>
      <c r="AT8">
        <v>508300.23</v>
      </c>
    </row>
    <row r="9" spans="1:48" x14ac:dyDescent="0.25">
      <c r="A9" s="1">
        <v>46176.862627314818</v>
      </c>
      <c r="B9" t="s">
        <v>22</v>
      </c>
      <c r="C9" t="s">
        <v>23</v>
      </c>
      <c r="D9" t="s">
        <v>14</v>
      </c>
      <c r="E9" t="s">
        <v>15</v>
      </c>
      <c r="F9">
        <v>5000</v>
      </c>
      <c r="G9">
        <v>30</v>
      </c>
      <c r="H9" t="s">
        <v>16</v>
      </c>
      <c r="I9" t="s">
        <v>16</v>
      </c>
      <c r="J9">
        <v>65120</v>
      </c>
      <c r="K9">
        <v>234720</v>
      </c>
      <c r="L9">
        <v>118354.73</v>
      </c>
      <c r="P9" s="1">
        <v>46131.908067129632</v>
      </c>
      <c r="Q9" t="s">
        <v>12</v>
      </c>
      <c r="R9" t="s">
        <v>23</v>
      </c>
      <c r="S9" t="s">
        <v>14</v>
      </c>
      <c r="T9" t="s">
        <v>15</v>
      </c>
      <c r="U9">
        <v>5000</v>
      </c>
      <c r="V9">
        <v>30</v>
      </c>
      <c r="W9" t="s">
        <v>17</v>
      </c>
      <c r="X9" t="s">
        <v>16</v>
      </c>
      <c r="Y9">
        <v>642977</v>
      </c>
      <c r="Z9">
        <v>1631156</v>
      </c>
      <c r="AA9">
        <v>999787.77</v>
      </c>
      <c r="AI9" s="1">
        <v>46131.915543981479</v>
      </c>
      <c r="AJ9" t="s">
        <v>19</v>
      </c>
      <c r="AK9" t="s">
        <v>23</v>
      </c>
      <c r="AL9" t="s">
        <v>14</v>
      </c>
      <c r="AM9" t="s">
        <v>15</v>
      </c>
      <c r="AN9">
        <v>5000</v>
      </c>
      <c r="AO9">
        <v>30</v>
      </c>
      <c r="AP9" t="s">
        <v>16</v>
      </c>
      <c r="AQ9" t="s">
        <v>21</v>
      </c>
      <c r="AR9">
        <v>1087637</v>
      </c>
      <c r="AS9">
        <v>3493807</v>
      </c>
      <c r="AT9">
        <v>2411650.1</v>
      </c>
    </row>
    <row r="10" spans="1:48" x14ac:dyDescent="0.25">
      <c r="A10" s="1">
        <v>46176.862812500003</v>
      </c>
      <c r="B10" t="s">
        <v>22</v>
      </c>
      <c r="C10" t="s">
        <v>23</v>
      </c>
      <c r="D10" t="s">
        <v>14</v>
      </c>
      <c r="E10" t="s">
        <v>15</v>
      </c>
      <c r="F10">
        <v>7500</v>
      </c>
      <c r="G10">
        <v>30</v>
      </c>
      <c r="H10" t="s">
        <v>16</v>
      </c>
      <c r="I10" t="s">
        <v>16</v>
      </c>
      <c r="J10">
        <v>122059</v>
      </c>
      <c r="K10">
        <v>474859</v>
      </c>
      <c r="L10">
        <v>247805.53</v>
      </c>
      <c r="P10" s="1">
        <v>46131.909131944441</v>
      </c>
      <c r="Q10" t="s">
        <v>12</v>
      </c>
      <c r="R10" t="s">
        <v>23</v>
      </c>
      <c r="S10" t="s">
        <v>14</v>
      </c>
      <c r="T10" t="s">
        <v>15</v>
      </c>
      <c r="U10">
        <v>7500</v>
      </c>
      <c r="V10">
        <v>30</v>
      </c>
      <c r="W10" t="s">
        <v>17</v>
      </c>
      <c r="X10" t="s">
        <v>16</v>
      </c>
      <c r="Y10">
        <v>2145138</v>
      </c>
      <c r="Z10">
        <v>3552521</v>
      </c>
      <c r="AA10">
        <v>2896449.77</v>
      </c>
      <c r="AI10" s="1">
        <v>46131.918819444443</v>
      </c>
      <c r="AJ10" t="s">
        <v>19</v>
      </c>
      <c r="AK10" t="s">
        <v>23</v>
      </c>
      <c r="AL10" t="s">
        <v>14</v>
      </c>
      <c r="AM10" t="s">
        <v>15</v>
      </c>
      <c r="AN10">
        <v>7500</v>
      </c>
      <c r="AO10">
        <v>30</v>
      </c>
      <c r="AP10" t="s">
        <v>16</v>
      </c>
      <c r="AQ10" t="s">
        <v>21</v>
      </c>
      <c r="AR10">
        <v>5021710</v>
      </c>
      <c r="AS10">
        <v>13897146</v>
      </c>
      <c r="AT10">
        <v>9024904.8300000001</v>
      </c>
    </row>
    <row r="11" spans="1:48" x14ac:dyDescent="0.25">
      <c r="A11" s="1">
        <v>46176.863078703704</v>
      </c>
      <c r="B11" t="s">
        <v>22</v>
      </c>
      <c r="C11" t="s">
        <v>23</v>
      </c>
      <c r="D11" t="s">
        <v>14</v>
      </c>
      <c r="E11" t="s">
        <v>15</v>
      </c>
      <c r="F11">
        <v>10000</v>
      </c>
      <c r="G11">
        <v>30</v>
      </c>
      <c r="H11" t="s">
        <v>16</v>
      </c>
      <c r="I11" t="s">
        <v>16</v>
      </c>
      <c r="J11">
        <v>204308</v>
      </c>
      <c r="K11">
        <v>1273305</v>
      </c>
      <c r="L11">
        <v>364215.53</v>
      </c>
      <c r="P11" s="1">
        <v>46131.910787037035</v>
      </c>
      <c r="Q11" t="s">
        <v>12</v>
      </c>
      <c r="R11" t="s">
        <v>23</v>
      </c>
      <c r="S11" t="s">
        <v>14</v>
      </c>
      <c r="T11" t="s">
        <v>15</v>
      </c>
      <c r="U11">
        <v>10000</v>
      </c>
      <c r="V11">
        <v>30</v>
      </c>
      <c r="W11" t="s">
        <v>17</v>
      </c>
      <c r="X11" t="s">
        <v>16</v>
      </c>
      <c r="Y11">
        <v>2835089</v>
      </c>
      <c r="Z11">
        <v>5806782</v>
      </c>
      <c r="AA11">
        <v>4450523.13</v>
      </c>
      <c r="AI11" s="1">
        <v>46131.921527777777</v>
      </c>
      <c r="AJ11" t="s">
        <v>19</v>
      </c>
      <c r="AK11" t="s">
        <v>23</v>
      </c>
      <c r="AL11" t="s">
        <v>14</v>
      </c>
      <c r="AM11" t="s">
        <v>15</v>
      </c>
      <c r="AN11">
        <v>10000</v>
      </c>
      <c r="AO11">
        <v>30</v>
      </c>
      <c r="AP11" t="s">
        <v>16</v>
      </c>
      <c r="AQ11" t="s">
        <v>21</v>
      </c>
      <c r="AR11">
        <v>4768401</v>
      </c>
      <c r="AS11">
        <v>13454909</v>
      </c>
      <c r="AT11">
        <v>7476424.3300000001</v>
      </c>
    </row>
    <row r="12" spans="1:48" x14ac:dyDescent="0.25">
      <c r="A12" s="1">
        <v>46176.86309027778</v>
      </c>
      <c r="B12" t="s">
        <v>22</v>
      </c>
      <c r="C12" t="s">
        <v>24</v>
      </c>
      <c r="D12" t="s">
        <v>14</v>
      </c>
      <c r="E12" t="s">
        <v>15</v>
      </c>
      <c r="F12">
        <v>1000</v>
      </c>
      <c r="G12">
        <v>30</v>
      </c>
      <c r="H12" t="s">
        <v>16</v>
      </c>
      <c r="I12" t="s">
        <v>16</v>
      </c>
      <c r="J12">
        <v>2084</v>
      </c>
      <c r="K12">
        <v>12031</v>
      </c>
      <c r="L12">
        <v>3486.37</v>
      </c>
      <c r="P12" s="1">
        <v>46131.911099537036</v>
      </c>
      <c r="Q12" t="s">
        <v>12</v>
      </c>
      <c r="R12" t="s">
        <v>24</v>
      </c>
      <c r="S12" t="s">
        <v>14</v>
      </c>
      <c r="T12" t="s">
        <v>15</v>
      </c>
      <c r="U12">
        <v>1000</v>
      </c>
      <c r="V12">
        <v>30</v>
      </c>
      <c r="W12" t="s">
        <v>17</v>
      </c>
      <c r="X12" t="s">
        <v>16</v>
      </c>
      <c r="Y12">
        <v>16147</v>
      </c>
      <c r="Z12">
        <v>36847</v>
      </c>
      <c r="AA12">
        <v>26280.67</v>
      </c>
      <c r="AI12" s="1">
        <v>46131.923796296294</v>
      </c>
      <c r="AJ12" t="s">
        <v>19</v>
      </c>
      <c r="AK12" t="s">
        <v>24</v>
      </c>
      <c r="AL12" t="s">
        <v>14</v>
      </c>
      <c r="AM12" t="s">
        <v>15</v>
      </c>
      <c r="AN12">
        <v>1000</v>
      </c>
      <c r="AO12">
        <v>30</v>
      </c>
      <c r="AP12" t="s">
        <v>16</v>
      </c>
      <c r="AQ12" t="s">
        <v>21</v>
      </c>
      <c r="AR12">
        <v>29796</v>
      </c>
      <c r="AS12">
        <v>40547</v>
      </c>
      <c r="AT12">
        <v>33395.83</v>
      </c>
    </row>
    <row r="13" spans="1:48" x14ac:dyDescent="0.25">
      <c r="A13" s="1">
        <v>46176.863125000003</v>
      </c>
      <c r="B13" t="s">
        <v>22</v>
      </c>
      <c r="C13" t="s">
        <v>24</v>
      </c>
      <c r="D13" t="s">
        <v>14</v>
      </c>
      <c r="E13" t="s">
        <v>15</v>
      </c>
      <c r="F13">
        <v>2500</v>
      </c>
      <c r="G13">
        <v>30</v>
      </c>
      <c r="H13" t="s">
        <v>16</v>
      </c>
      <c r="I13" t="s">
        <v>16</v>
      </c>
      <c r="J13">
        <v>19375</v>
      </c>
      <c r="K13">
        <v>76525</v>
      </c>
      <c r="L13">
        <v>46595.33</v>
      </c>
      <c r="P13" s="1">
        <v>46131.911192129628</v>
      </c>
      <c r="Q13" t="s">
        <v>12</v>
      </c>
      <c r="R13" t="s">
        <v>24</v>
      </c>
      <c r="S13" t="s">
        <v>14</v>
      </c>
      <c r="T13" t="s">
        <v>15</v>
      </c>
      <c r="U13">
        <v>2500</v>
      </c>
      <c r="V13">
        <v>30</v>
      </c>
      <c r="W13" t="s">
        <v>17</v>
      </c>
      <c r="X13" t="s">
        <v>16</v>
      </c>
      <c r="Y13">
        <v>173261</v>
      </c>
      <c r="Z13">
        <v>322485</v>
      </c>
      <c r="AA13">
        <v>237755.77</v>
      </c>
      <c r="AI13" s="1">
        <v>46131.92391203704</v>
      </c>
      <c r="AJ13" t="s">
        <v>19</v>
      </c>
      <c r="AK13" t="s">
        <v>24</v>
      </c>
      <c r="AL13" t="s">
        <v>14</v>
      </c>
      <c r="AM13" t="s">
        <v>15</v>
      </c>
      <c r="AN13">
        <v>2500</v>
      </c>
      <c r="AO13">
        <v>30</v>
      </c>
      <c r="AP13" t="s">
        <v>16</v>
      </c>
      <c r="AQ13" t="s">
        <v>21</v>
      </c>
      <c r="AR13">
        <v>271649</v>
      </c>
      <c r="AS13">
        <v>339854</v>
      </c>
      <c r="AT13">
        <v>310320.83</v>
      </c>
    </row>
    <row r="14" spans="1:48" x14ac:dyDescent="0.25">
      <c r="A14" s="1">
        <v>46176.863194444442</v>
      </c>
      <c r="B14" t="s">
        <v>22</v>
      </c>
      <c r="C14" t="s">
        <v>24</v>
      </c>
      <c r="D14" t="s">
        <v>14</v>
      </c>
      <c r="E14" t="s">
        <v>15</v>
      </c>
      <c r="F14">
        <v>5000</v>
      </c>
      <c r="G14">
        <v>30</v>
      </c>
      <c r="H14" t="s">
        <v>16</v>
      </c>
      <c r="I14" t="s">
        <v>16</v>
      </c>
      <c r="J14">
        <v>77546</v>
      </c>
      <c r="K14">
        <v>133837</v>
      </c>
      <c r="L14">
        <v>109396.87</v>
      </c>
      <c r="P14" s="1">
        <v>46131.911574074074</v>
      </c>
      <c r="Q14" t="s">
        <v>12</v>
      </c>
      <c r="R14" t="s">
        <v>24</v>
      </c>
      <c r="S14" t="s">
        <v>14</v>
      </c>
      <c r="T14" t="s">
        <v>15</v>
      </c>
      <c r="U14">
        <v>5000</v>
      </c>
      <c r="V14">
        <v>30</v>
      </c>
      <c r="W14" t="s">
        <v>17</v>
      </c>
      <c r="X14" t="s">
        <v>16</v>
      </c>
      <c r="Y14">
        <v>647059</v>
      </c>
      <c r="Z14">
        <v>1607597</v>
      </c>
      <c r="AA14">
        <v>1001803.3</v>
      </c>
      <c r="AI14" s="1">
        <v>46131.924456018518</v>
      </c>
      <c r="AJ14" t="s">
        <v>19</v>
      </c>
      <c r="AK14" t="s">
        <v>24</v>
      </c>
      <c r="AL14" t="s">
        <v>14</v>
      </c>
      <c r="AM14" t="s">
        <v>15</v>
      </c>
      <c r="AN14">
        <v>5000</v>
      </c>
      <c r="AO14">
        <v>30</v>
      </c>
      <c r="AP14" t="s">
        <v>16</v>
      </c>
      <c r="AQ14" t="s">
        <v>21</v>
      </c>
      <c r="AR14">
        <v>897696</v>
      </c>
      <c r="AS14">
        <v>2565472</v>
      </c>
      <c r="AT14">
        <v>1482405.7</v>
      </c>
    </row>
    <row r="15" spans="1:48" x14ac:dyDescent="0.25">
      <c r="A15" s="1">
        <v>46176.863344907404</v>
      </c>
      <c r="B15" t="s">
        <v>22</v>
      </c>
      <c r="C15" t="s">
        <v>24</v>
      </c>
      <c r="D15" t="s">
        <v>14</v>
      </c>
      <c r="E15" t="s">
        <v>15</v>
      </c>
      <c r="F15">
        <v>7500</v>
      </c>
      <c r="G15">
        <v>30</v>
      </c>
      <c r="H15" t="s">
        <v>16</v>
      </c>
      <c r="I15" t="s">
        <v>16</v>
      </c>
      <c r="J15">
        <v>124038</v>
      </c>
      <c r="K15">
        <v>546429</v>
      </c>
      <c r="L15">
        <v>213164.23</v>
      </c>
      <c r="P15" s="1">
        <v>46131.912662037037</v>
      </c>
      <c r="Q15" t="s">
        <v>12</v>
      </c>
      <c r="R15" t="s">
        <v>24</v>
      </c>
      <c r="S15" t="s">
        <v>14</v>
      </c>
      <c r="T15" t="s">
        <v>15</v>
      </c>
      <c r="U15">
        <v>7500</v>
      </c>
      <c r="V15">
        <v>30</v>
      </c>
      <c r="W15" t="s">
        <v>17</v>
      </c>
      <c r="X15" t="s">
        <v>16</v>
      </c>
      <c r="Y15">
        <v>2413231</v>
      </c>
      <c r="Z15">
        <v>3270575</v>
      </c>
      <c r="AA15">
        <v>2939838.27</v>
      </c>
      <c r="AI15" s="1">
        <v>46131.925949074073</v>
      </c>
      <c r="AJ15" t="s">
        <v>19</v>
      </c>
      <c r="AK15" t="s">
        <v>24</v>
      </c>
      <c r="AL15" t="s">
        <v>14</v>
      </c>
      <c r="AM15" t="s">
        <v>15</v>
      </c>
      <c r="AN15">
        <v>7500</v>
      </c>
      <c r="AO15">
        <v>30</v>
      </c>
      <c r="AP15" t="s">
        <v>16</v>
      </c>
      <c r="AQ15" t="s">
        <v>21</v>
      </c>
      <c r="AR15">
        <v>2428204</v>
      </c>
      <c r="AS15">
        <v>4744373</v>
      </c>
      <c r="AT15">
        <v>4079226.37</v>
      </c>
    </row>
    <row r="16" spans="1:48" x14ac:dyDescent="0.25">
      <c r="A16" s="1">
        <v>46176.863564814812</v>
      </c>
      <c r="B16" t="s">
        <v>22</v>
      </c>
      <c r="C16" t="s">
        <v>24</v>
      </c>
      <c r="D16" t="s">
        <v>14</v>
      </c>
      <c r="E16" t="s">
        <v>15</v>
      </c>
      <c r="F16">
        <v>10000</v>
      </c>
      <c r="G16">
        <v>30</v>
      </c>
      <c r="H16" t="s">
        <v>16</v>
      </c>
      <c r="I16" t="s">
        <v>16</v>
      </c>
      <c r="J16">
        <v>206582</v>
      </c>
      <c r="K16">
        <v>381706</v>
      </c>
      <c r="L16">
        <v>288694.53000000003</v>
      </c>
      <c r="P16" s="1">
        <v>46131.914236111108</v>
      </c>
      <c r="Q16" t="s">
        <v>12</v>
      </c>
      <c r="R16" t="s">
        <v>24</v>
      </c>
      <c r="S16" t="s">
        <v>14</v>
      </c>
      <c r="T16" t="s">
        <v>15</v>
      </c>
      <c r="U16">
        <v>10000</v>
      </c>
      <c r="V16">
        <v>30</v>
      </c>
      <c r="W16" t="s">
        <v>17</v>
      </c>
      <c r="X16" t="s">
        <v>16</v>
      </c>
      <c r="Y16">
        <v>2773511</v>
      </c>
      <c r="Z16">
        <v>5870025</v>
      </c>
      <c r="AA16">
        <v>4234025.4000000004</v>
      </c>
      <c r="AI16" s="1">
        <v>46131.928425925929</v>
      </c>
      <c r="AJ16" t="s">
        <v>19</v>
      </c>
      <c r="AK16" t="s">
        <v>24</v>
      </c>
      <c r="AL16" t="s">
        <v>14</v>
      </c>
      <c r="AM16" t="s">
        <v>15</v>
      </c>
      <c r="AN16">
        <v>10000</v>
      </c>
      <c r="AO16">
        <v>30</v>
      </c>
      <c r="AP16" t="s">
        <v>16</v>
      </c>
      <c r="AQ16" t="s">
        <v>21</v>
      </c>
      <c r="AR16">
        <v>4935727</v>
      </c>
      <c r="AS16">
        <v>8992418</v>
      </c>
      <c r="AT16">
        <v>6829752.5300000003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96EAA-D6D0-4009-BE92-1BBCB0409085}">
  <dimension ref="A1:N13"/>
  <sheetViews>
    <sheetView topLeftCell="A16" zoomScale="85" zoomScaleNormal="85" workbookViewId="0">
      <selection activeCell="C44" sqref="C44"/>
    </sheetView>
  </sheetViews>
  <sheetFormatPr defaultRowHeight="15" x14ac:dyDescent="0.25"/>
  <sheetData>
    <row r="1" spans="1:14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t="str">
        <f>C7</f>
        <v>singleList</v>
      </c>
      <c r="N1" t="str">
        <f>C10</f>
        <v>doubleList</v>
      </c>
    </row>
    <row r="2" spans="1:14" x14ac:dyDescent="0.25">
      <c r="A2" s="5">
        <v>46131.934212962966</v>
      </c>
      <c r="B2" s="6" t="s">
        <v>12</v>
      </c>
      <c r="C2" s="6" t="s">
        <v>13</v>
      </c>
      <c r="D2" s="6" t="s">
        <v>14</v>
      </c>
      <c r="E2" s="6" t="s">
        <v>15</v>
      </c>
      <c r="F2" s="6">
        <v>5000</v>
      </c>
      <c r="G2" s="6">
        <v>30</v>
      </c>
      <c r="H2" s="6" t="s">
        <v>17</v>
      </c>
      <c r="I2" s="6" t="s">
        <v>16</v>
      </c>
      <c r="J2" s="6">
        <v>776</v>
      </c>
      <c r="K2" s="6">
        <v>31487</v>
      </c>
      <c r="L2" s="7">
        <v>7033.63</v>
      </c>
      <c r="M2">
        <f>L6</f>
        <v>1069645.33</v>
      </c>
      <c r="N2">
        <f>L10</f>
        <v>1068389.33</v>
      </c>
    </row>
    <row r="3" spans="1:14" x14ac:dyDescent="0.25">
      <c r="A3" s="5">
        <v>46131.934212962966</v>
      </c>
      <c r="B3" s="6" t="s">
        <v>12</v>
      </c>
      <c r="C3" s="6" t="s">
        <v>13</v>
      </c>
      <c r="D3" s="6" t="s">
        <v>14</v>
      </c>
      <c r="E3" s="6" t="s">
        <v>25</v>
      </c>
      <c r="F3" s="6">
        <v>5000</v>
      </c>
      <c r="G3" s="6">
        <v>30</v>
      </c>
      <c r="H3" s="6" t="s">
        <v>17</v>
      </c>
      <c r="I3" s="6" t="s">
        <v>16</v>
      </c>
      <c r="J3" s="6">
        <v>293</v>
      </c>
      <c r="K3" s="6">
        <v>11473</v>
      </c>
      <c r="L3" s="7">
        <v>966.9</v>
      </c>
      <c r="M3">
        <f t="shared" ref="M3:M5" si="0">L7</f>
        <v>384645.63</v>
      </c>
      <c r="N3">
        <f t="shared" ref="N3:N5" si="1">L11</f>
        <v>394519.67</v>
      </c>
    </row>
    <row r="4" spans="1:14" x14ac:dyDescent="0.25">
      <c r="A4" s="5">
        <v>46131.934212962966</v>
      </c>
      <c r="B4" s="6" t="s">
        <v>12</v>
      </c>
      <c r="C4" s="6" t="s">
        <v>13</v>
      </c>
      <c r="D4" s="6" t="s">
        <v>14</v>
      </c>
      <c r="E4" s="6" t="s">
        <v>26</v>
      </c>
      <c r="F4" s="6">
        <v>5000</v>
      </c>
      <c r="G4" s="6">
        <v>30</v>
      </c>
      <c r="H4" s="6" t="s">
        <v>17</v>
      </c>
      <c r="I4" s="6" t="s">
        <v>16</v>
      </c>
      <c r="J4" s="6">
        <v>929</v>
      </c>
      <c r="K4" s="6">
        <v>21237</v>
      </c>
      <c r="L4" s="7">
        <v>5637.2</v>
      </c>
      <c r="M4">
        <f t="shared" si="0"/>
        <v>1012668.33</v>
      </c>
      <c r="N4">
        <f t="shared" si="1"/>
        <v>1057388.97</v>
      </c>
    </row>
    <row r="5" spans="1:14" x14ac:dyDescent="0.25">
      <c r="A5" s="5">
        <v>46131.934224537035</v>
      </c>
      <c r="B5" s="6" t="s">
        <v>12</v>
      </c>
      <c r="C5" s="6" t="s">
        <v>13</v>
      </c>
      <c r="D5" s="6" t="s">
        <v>14</v>
      </c>
      <c r="E5" s="6" t="s">
        <v>27</v>
      </c>
      <c r="F5" s="6">
        <v>5000</v>
      </c>
      <c r="G5" s="6">
        <v>30</v>
      </c>
      <c r="H5" s="6" t="s">
        <v>17</v>
      </c>
      <c r="I5" s="6" t="s">
        <v>16</v>
      </c>
      <c r="J5" s="6">
        <v>495</v>
      </c>
      <c r="K5" s="6">
        <v>7500</v>
      </c>
      <c r="L5" s="7">
        <v>1882.13</v>
      </c>
      <c r="M5">
        <f t="shared" si="0"/>
        <v>819953.03</v>
      </c>
      <c r="N5">
        <f t="shared" si="1"/>
        <v>827026.67</v>
      </c>
    </row>
    <row r="6" spans="1:14" x14ac:dyDescent="0.25">
      <c r="A6" s="5">
        <v>46131.934652777774</v>
      </c>
      <c r="B6" s="6" t="s">
        <v>12</v>
      </c>
      <c r="C6" s="6" t="s">
        <v>23</v>
      </c>
      <c r="D6" s="6" t="s">
        <v>14</v>
      </c>
      <c r="E6" s="6" t="s">
        <v>15</v>
      </c>
      <c r="F6" s="6">
        <v>5000</v>
      </c>
      <c r="G6" s="6">
        <v>30</v>
      </c>
      <c r="H6" s="6" t="s">
        <v>17</v>
      </c>
      <c r="I6" s="6" t="s">
        <v>16</v>
      </c>
      <c r="J6" s="6">
        <v>677912</v>
      </c>
      <c r="K6" s="6">
        <v>1839017</v>
      </c>
      <c r="L6" s="7">
        <v>1069645.33</v>
      </c>
    </row>
    <row r="7" spans="1:14" x14ac:dyDescent="0.25">
      <c r="A7" s="5">
        <v>46131.934814814813</v>
      </c>
      <c r="B7" s="6" t="s">
        <v>12</v>
      </c>
      <c r="C7" s="6" t="s">
        <v>23</v>
      </c>
      <c r="D7" s="6" t="s">
        <v>14</v>
      </c>
      <c r="E7" s="6" t="s">
        <v>25</v>
      </c>
      <c r="F7" s="6">
        <v>5000</v>
      </c>
      <c r="G7" s="6">
        <v>30</v>
      </c>
      <c r="H7" s="6" t="s">
        <v>17</v>
      </c>
      <c r="I7" s="6" t="s">
        <v>16</v>
      </c>
      <c r="J7" s="6">
        <v>266722</v>
      </c>
      <c r="K7" s="6">
        <v>625375</v>
      </c>
      <c r="L7" s="7">
        <v>384645.63</v>
      </c>
    </row>
    <row r="8" spans="1:14" x14ac:dyDescent="0.25">
      <c r="A8" s="5">
        <v>46131.935196759259</v>
      </c>
      <c r="B8" s="6" t="s">
        <v>12</v>
      </c>
      <c r="C8" s="6" t="s">
        <v>23</v>
      </c>
      <c r="D8" s="6" t="s">
        <v>14</v>
      </c>
      <c r="E8" s="6" t="s">
        <v>26</v>
      </c>
      <c r="F8" s="6">
        <v>5000</v>
      </c>
      <c r="G8" s="6">
        <v>30</v>
      </c>
      <c r="H8" s="6" t="s">
        <v>17</v>
      </c>
      <c r="I8" s="6" t="s">
        <v>16</v>
      </c>
      <c r="J8" s="6">
        <v>642147</v>
      </c>
      <c r="K8" s="6">
        <v>1352920</v>
      </c>
      <c r="L8" s="7">
        <v>1012668.33</v>
      </c>
    </row>
    <row r="9" spans="1:14" x14ac:dyDescent="0.25">
      <c r="A9" s="5">
        <v>46131.93550925926</v>
      </c>
      <c r="B9" s="6" t="s">
        <v>12</v>
      </c>
      <c r="C9" s="6" t="s">
        <v>23</v>
      </c>
      <c r="D9" s="6" t="s">
        <v>14</v>
      </c>
      <c r="E9" s="6" t="s">
        <v>27</v>
      </c>
      <c r="F9" s="6">
        <v>5000</v>
      </c>
      <c r="G9" s="6">
        <v>30</v>
      </c>
      <c r="H9" s="6" t="s">
        <v>17</v>
      </c>
      <c r="I9" s="6" t="s">
        <v>16</v>
      </c>
      <c r="J9" s="6">
        <v>551751</v>
      </c>
      <c r="K9" s="6">
        <v>1016481</v>
      </c>
      <c r="L9" s="7">
        <v>819953.03</v>
      </c>
    </row>
    <row r="10" spans="1:14" x14ac:dyDescent="0.25">
      <c r="A10" s="5">
        <v>46131.936354166668</v>
      </c>
      <c r="B10" s="6" t="s">
        <v>12</v>
      </c>
      <c r="C10" s="6" t="s">
        <v>24</v>
      </c>
      <c r="D10" s="6" t="s">
        <v>14</v>
      </c>
      <c r="E10" s="6" t="s">
        <v>15</v>
      </c>
      <c r="F10" s="6">
        <v>5000</v>
      </c>
      <c r="G10" s="6">
        <v>30</v>
      </c>
      <c r="H10" s="6" t="s">
        <v>17</v>
      </c>
      <c r="I10" s="6" t="s">
        <v>16</v>
      </c>
      <c r="J10" s="6">
        <v>596729</v>
      </c>
      <c r="K10" s="6">
        <v>1297625</v>
      </c>
      <c r="L10" s="7">
        <v>1068389.33</v>
      </c>
    </row>
    <row r="11" spans="1:14" x14ac:dyDescent="0.25">
      <c r="A11" s="5">
        <v>46131.936527777776</v>
      </c>
      <c r="B11" s="6" t="s">
        <v>12</v>
      </c>
      <c r="C11" s="6" t="s">
        <v>24</v>
      </c>
      <c r="D11" s="6" t="s">
        <v>14</v>
      </c>
      <c r="E11" s="6" t="s">
        <v>25</v>
      </c>
      <c r="F11" s="6">
        <v>5000</v>
      </c>
      <c r="G11" s="6">
        <v>30</v>
      </c>
      <c r="H11" s="6" t="s">
        <v>17</v>
      </c>
      <c r="I11" s="6" t="s">
        <v>16</v>
      </c>
      <c r="J11" s="6">
        <v>244047</v>
      </c>
      <c r="K11" s="6">
        <v>459926</v>
      </c>
      <c r="L11" s="7">
        <v>394519.67</v>
      </c>
    </row>
    <row r="12" spans="1:14" x14ac:dyDescent="0.25">
      <c r="A12" s="5">
        <v>46131.936921296299</v>
      </c>
      <c r="B12" s="6" t="s">
        <v>12</v>
      </c>
      <c r="C12" s="6" t="s">
        <v>24</v>
      </c>
      <c r="D12" s="6" t="s">
        <v>14</v>
      </c>
      <c r="E12" s="6" t="s">
        <v>26</v>
      </c>
      <c r="F12" s="6">
        <v>5000</v>
      </c>
      <c r="G12" s="6">
        <v>30</v>
      </c>
      <c r="H12" s="6" t="s">
        <v>17</v>
      </c>
      <c r="I12" s="6" t="s">
        <v>16</v>
      </c>
      <c r="J12" s="6">
        <v>661945</v>
      </c>
      <c r="K12" s="6">
        <v>1302334</v>
      </c>
      <c r="L12" s="7">
        <v>1057388.97</v>
      </c>
    </row>
    <row r="13" spans="1:14" ht="15.75" thickBot="1" x14ac:dyDescent="0.3">
      <c r="A13" s="8">
        <v>46131.9372337963</v>
      </c>
      <c r="B13" s="9" t="s">
        <v>12</v>
      </c>
      <c r="C13" s="9" t="s">
        <v>24</v>
      </c>
      <c r="D13" s="9" t="s">
        <v>14</v>
      </c>
      <c r="E13" s="9" t="s">
        <v>27</v>
      </c>
      <c r="F13" s="9">
        <v>5000</v>
      </c>
      <c r="G13" s="9">
        <v>30</v>
      </c>
      <c r="H13" s="9" t="s">
        <v>17</v>
      </c>
      <c r="I13" s="9" t="s">
        <v>16</v>
      </c>
      <c r="J13" s="9">
        <v>586110</v>
      </c>
      <c r="K13" s="9">
        <v>1139990</v>
      </c>
      <c r="L13" s="10">
        <v>827026.67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5152-BF37-4692-8DB5-CF3F4D988456}">
  <dimension ref="A1:L5"/>
  <sheetViews>
    <sheetView workbookViewId="0">
      <selection activeCell="P34" sqref="P34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46131.938414351855</v>
      </c>
      <c r="B2" t="s">
        <v>12</v>
      </c>
      <c r="C2" t="s">
        <v>13</v>
      </c>
      <c r="D2" t="s">
        <v>14</v>
      </c>
      <c r="E2" t="s">
        <v>15</v>
      </c>
      <c r="F2">
        <v>5000</v>
      </c>
      <c r="G2">
        <v>30</v>
      </c>
      <c r="H2" t="s">
        <v>17</v>
      </c>
      <c r="I2" t="s">
        <v>16</v>
      </c>
      <c r="J2">
        <v>808</v>
      </c>
      <c r="K2">
        <v>15921</v>
      </c>
      <c r="L2">
        <v>2910.03</v>
      </c>
    </row>
    <row r="3" spans="1:12" x14ac:dyDescent="0.25">
      <c r="A3" s="1">
        <v>46131.938425925924</v>
      </c>
      <c r="B3" t="s">
        <v>12</v>
      </c>
      <c r="C3" t="s">
        <v>13</v>
      </c>
      <c r="D3" t="s">
        <v>28</v>
      </c>
      <c r="E3" t="s">
        <v>15</v>
      </c>
      <c r="F3">
        <v>5000</v>
      </c>
      <c r="G3">
        <v>30</v>
      </c>
      <c r="H3" t="s">
        <v>17</v>
      </c>
      <c r="I3" t="s">
        <v>16</v>
      </c>
      <c r="J3">
        <v>35439</v>
      </c>
      <c r="K3">
        <v>123611</v>
      </c>
      <c r="L3">
        <v>46019.17</v>
      </c>
    </row>
    <row r="4" spans="1:12" x14ac:dyDescent="0.25">
      <c r="A4" s="1">
        <v>46131.938425925924</v>
      </c>
      <c r="B4" t="s">
        <v>12</v>
      </c>
      <c r="C4" t="s">
        <v>13</v>
      </c>
      <c r="D4" t="s">
        <v>29</v>
      </c>
      <c r="E4" t="s">
        <v>15</v>
      </c>
      <c r="F4">
        <v>5000</v>
      </c>
      <c r="G4">
        <v>30</v>
      </c>
      <c r="H4" t="s">
        <v>17</v>
      </c>
      <c r="I4" t="s">
        <v>16</v>
      </c>
      <c r="J4">
        <v>760</v>
      </c>
      <c r="K4">
        <v>6662</v>
      </c>
      <c r="L4">
        <v>1923.57</v>
      </c>
    </row>
    <row r="5" spans="1:12" x14ac:dyDescent="0.25">
      <c r="A5" s="1">
        <v>46131.938437500001</v>
      </c>
      <c r="B5" t="s">
        <v>12</v>
      </c>
      <c r="C5" t="s">
        <v>13</v>
      </c>
      <c r="D5" t="s">
        <v>30</v>
      </c>
      <c r="E5" t="s">
        <v>15</v>
      </c>
      <c r="F5">
        <v>5000</v>
      </c>
      <c r="G5">
        <v>30</v>
      </c>
      <c r="H5" t="s">
        <v>17</v>
      </c>
      <c r="I5" t="s">
        <v>16</v>
      </c>
      <c r="J5">
        <v>5132</v>
      </c>
      <c r="K5">
        <v>23523</v>
      </c>
      <c r="L5">
        <v>11591.53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C70C-062D-4291-B14C-3D363FE81E13}">
  <dimension ref="A1:L6"/>
  <sheetViews>
    <sheetView workbookViewId="0">
      <selection activeCell="Q22" sqref="Q22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46131.938460648147</v>
      </c>
      <c r="B2" t="s">
        <v>12</v>
      </c>
      <c r="C2" t="s">
        <v>13</v>
      </c>
      <c r="D2" t="s">
        <v>14</v>
      </c>
      <c r="E2" t="s">
        <v>15</v>
      </c>
      <c r="F2">
        <v>5000</v>
      </c>
      <c r="G2">
        <v>30</v>
      </c>
      <c r="H2" t="s">
        <v>17</v>
      </c>
      <c r="I2" t="s">
        <v>16</v>
      </c>
      <c r="J2">
        <v>737</v>
      </c>
      <c r="K2">
        <v>16638</v>
      </c>
      <c r="L2">
        <v>2373.0700000000002</v>
      </c>
    </row>
    <row r="3" spans="1:12" x14ac:dyDescent="0.25">
      <c r="A3" s="1">
        <v>46131.938831018517</v>
      </c>
      <c r="B3" t="s">
        <v>12</v>
      </c>
      <c r="C3" t="s">
        <v>23</v>
      </c>
      <c r="D3" t="s">
        <v>14</v>
      </c>
      <c r="E3" t="s">
        <v>15</v>
      </c>
      <c r="F3">
        <v>5000</v>
      </c>
      <c r="G3">
        <v>30</v>
      </c>
      <c r="H3" t="s">
        <v>17</v>
      </c>
      <c r="I3" t="s">
        <v>16</v>
      </c>
      <c r="J3">
        <v>622619</v>
      </c>
      <c r="K3">
        <v>1323358</v>
      </c>
      <c r="L3">
        <v>996322.33</v>
      </c>
    </row>
    <row r="4" spans="1:12" x14ac:dyDescent="0.25">
      <c r="A4" s="1">
        <v>46131.939236111109</v>
      </c>
      <c r="B4" t="s">
        <v>12</v>
      </c>
      <c r="C4" t="s">
        <v>24</v>
      </c>
      <c r="D4" t="s">
        <v>14</v>
      </c>
      <c r="E4" t="s">
        <v>15</v>
      </c>
      <c r="F4">
        <v>5000</v>
      </c>
      <c r="G4">
        <v>30</v>
      </c>
      <c r="H4" t="s">
        <v>17</v>
      </c>
      <c r="I4" t="s">
        <v>16</v>
      </c>
      <c r="J4">
        <v>692996</v>
      </c>
      <c r="K4">
        <v>1390067</v>
      </c>
      <c r="L4">
        <v>1060340.43</v>
      </c>
    </row>
    <row r="5" spans="1:12" x14ac:dyDescent="0.25">
      <c r="A5" s="1">
        <v>46131.939618055556</v>
      </c>
      <c r="B5" t="s">
        <v>12</v>
      </c>
      <c r="C5" t="s">
        <v>31</v>
      </c>
      <c r="D5" t="s">
        <v>14</v>
      </c>
      <c r="E5" t="s">
        <v>15</v>
      </c>
      <c r="F5">
        <v>5000</v>
      </c>
      <c r="G5">
        <v>30</v>
      </c>
      <c r="H5" t="s">
        <v>17</v>
      </c>
      <c r="I5" t="s">
        <v>16</v>
      </c>
      <c r="J5">
        <v>699163</v>
      </c>
      <c r="K5">
        <v>1323189</v>
      </c>
      <c r="L5">
        <v>1043263.8</v>
      </c>
    </row>
    <row r="6" spans="1:12" x14ac:dyDescent="0.25">
      <c r="A6" s="1">
        <v>46131.939629629633</v>
      </c>
      <c r="B6" t="s">
        <v>12</v>
      </c>
      <c r="C6" t="s">
        <v>32</v>
      </c>
      <c r="D6" t="s">
        <v>14</v>
      </c>
      <c r="E6" t="s">
        <v>15</v>
      </c>
      <c r="F6">
        <v>5000</v>
      </c>
      <c r="G6">
        <v>30</v>
      </c>
      <c r="H6" t="s">
        <v>17</v>
      </c>
      <c r="I6" t="s">
        <v>16</v>
      </c>
      <c r="J6">
        <v>11544</v>
      </c>
      <c r="K6">
        <v>29242</v>
      </c>
      <c r="L6">
        <v>17612.03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alpha</vt:lpstr>
      <vt:lpstr>A</vt:lpstr>
      <vt:lpstr>B</vt:lpstr>
      <vt:lpstr>C</vt:lpstr>
      <vt:lpstr>Omega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MashaGuzhva</dc:creator>
  <cp:lastModifiedBy>Марія Гужва</cp:lastModifiedBy>
  <dcterms:created xsi:type="dcterms:W3CDTF">2015-06-05T18:17:20Z</dcterms:created>
  <dcterms:modified xsi:type="dcterms:W3CDTF">2026-06-03T20:48:43Z</dcterms:modified>
</cp:coreProperties>
</file>